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검수" sheetId="2" state="visible" r:id="rId4"/>
    <sheet name="교차검수" sheetId="3" state="visible" r:id="rId5"/>
    <sheet name="요약" sheetId="4" state="visible" r:id="rId6"/>
    <sheet name="분야 기준" sheetId="5" state="visible" r:id="rId7"/>
  </sheets>
  <definedNames>
    <definedName function="false" hidden="true" localSheetId="1" name="_xlnm._FilterDatabase" vbProcedure="false">검수!$A$1:$Q$184</definedName>
    <definedName function="false" hidden="true" localSheetId="2" name="_xlnm._FilterDatabase" vbProcedure="false">교차검수!$A$1:$O$21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WenQuanYi Zen Hei"/>
            <family val="2"/>
          </rPr>
          <t xml:space="preserve">자동 연결 분야가 비어 있으면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정말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 분야 어디에도 안 맞으면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맞음</t>
        </r>
        <r>
          <rPr>
            <sz val="10"/>
            <rFont val="Arial"/>
            <family val="2"/>
          </rPr>
          <t xml:space="preserve">', </t>
        </r>
        <r>
          <rPr>
            <sz val="10"/>
            <rFont val="WenQuanYi Zen Hei"/>
            <family val="2"/>
          </rPr>
          <t xml:space="preserve">맞는 분야가 있으면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틀림</t>
        </r>
        <r>
          <rPr>
            <sz val="10"/>
            <rFont val="Arial"/>
            <family val="2"/>
          </rPr>
          <t xml:space="preserve">' + ③</t>
        </r>
        <r>
          <rPr>
            <sz val="10"/>
            <rFont val="WenQuanYi Zen Hei"/>
            <family val="2"/>
          </rPr>
          <t xml:space="preserve">에 분야 입력</t>
        </r>
      </text>
    </comment>
  </commentList>
</comments>
</file>

<file path=xl/sharedStrings.xml><?xml version="1.0" encoding="utf-8"?>
<sst xmlns="http://schemas.openxmlformats.org/spreadsheetml/2006/main" count="1872" uniqueCount="543">
  <si>
    <t xml:space="preserve">분야–과정 연결 검수 시트</t>
  </si>
  <si>
    <t xml:space="preserve">목적</t>
  </si>
  <si>
    <r>
      <rPr>
        <sz val="10"/>
        <rFont val="WenQuanYi Zen Hei"/>
        <family val="2"/>
      </rPr>
      <t xml:space="preserve">고객용 화면은 과정명 키워드로 과정을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개 인사 분야에 자동 연결합니다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연결이 맞는지 사람이 확인합니다</t>
    </r>
    <r>
      <rPr>
        <sz val="10"/>
        <rFont val="Arial"/>
        <family val="0"/>
        <charset val="1"/>
      </rPr>
      <t xml:space="preserve">.</t>
    </r>
  </si>
  <si>
    <t xml:space="preserve">대상</t>
  </si>
  <si>
    <r>
      <rPr>
        <sz val="10"/>
        <rFont val="WenQuanYi Zen Hei"/>
        <family val="2"/>
      </rPr>
      <t xml:space="preserve">확정 과정 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같은 과정명은 하나로 묶음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: data/hr/output/recommendation/hr_recommendation_candidates.csv</t>
    </r>
  </si>
  <si>
    <t xml:space="preserve">입력할 칸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</si>
  <si>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검수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노란 칸만 입력합니다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회색 칸은 자동으로 채운 정보이니 고치지 마세요</t>
    </r>
    <r>
      <rPr>
        <sz val="10"/>
        <rFont val="Arial"/>
        <family val="0"/>
        <charset val="1"/>
      </rPr>
      <t xml:space="preserve">.</t>
    </r>
  </si>
  <si>
    <t xml:space="preserve">배정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</si>
  <si>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배정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열에 적힌 팀원이 그 행을 검수합니다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팀원</t>
    </r>
    <r>
      <rPr>
        <sz val="10"/>
        <rFont val="Arial"/>
        <family val="0"/>
        <charset val="1"/>
      </rPr>
      <t xml:space="preserve">A~D</t>
    </r>
    <r>
      <rPr>
        <sz val="10"/>
        <rFont val="WenQuanYi Zen Hei"/>
        <family val="2"/>
      </rPr>
      <t xml:space="preserve">가 순서대로 나눔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필터로 내 행만 볼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</si>
  <si>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① 인사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총무 관련 여부</t>
    </r>
  </si>
  <si>
    <r>
      <rPr>
        <sz val="10"/>
        <rFont val="WenQuanYi Zen Hei"/>
        <family val="2"/>
      </rPr>
      <t xml:space="preserve">과정 자체가 인사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총무 업무에 관련 있는지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관련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일부 관련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무관</t>
    </r>
  </si>
  <si>
    <t xml:space="preserve">② 자동 연결 분야 판정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</si>
  <si>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자동 연결 분야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가 맞는지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맞음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일부 틀림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일부만 맞음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틀림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분야가 </t>
    </r>
    <r>
      <rPr>
        <sz val="10"/>
        <rFont val="Arial"/>
        <family val="0"/>
        <charset val="1"/>
      </rPr>
      <t xml:space="preserve">'(</t>
    </r>
    <r>
      <rPr>
        <sz val="10"/>
        <rFont val="WenQuanYi Zen Hei"/>
        <family val="2"/>
      </rPr>
      <t xml:space="preserve">없음</t>
    </r>
    <r>
      <rPr>
        <sz val="10"/>
        <rFont val="Arial"/>
        <family val="0"/>
        <charset val="1"/>
      </rPr>
      <t xml:space="preserve">)'</t>
    </r>
    <r>
      <rPr>
        <sz val="10"/>
        <rFont val="WenQuanYi Zen Hei"/>
        <family val="2"/>
      </rPr>
      <t xml:space="preserve">인데 맞는 분야가 있으면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틀림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고르고 ③에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</si>
  <si>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③ 추가할 분야 </t>
    </r>
    <r>
      <rPr>
        <b val="true"/>
        <sz val="10"/>
        <rFont val="Arial"/>
        <family val="0"/>
        <charset val="1"/>
      </rPr>
      <t xml:space="preserve">/ ④ </t>
    </r>
    <r>
      <rPr>
        <b val="true"/>
        <sz val="10"/>
        <rFont val="WenQuanYi Zen Hei"/>
        <family val="2"/>
      </rPr>
      <t xml:space="preserve">뺄 분야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</si>
  <si>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분야 기준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분야 이름을 그대로 적습니다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여러 개면 쉼표로 구분합니다</t>
    </r>
    <r>
      <rPr>
        <sz val="10"/>
        <rFont val="Arial"/>
        <family val="0"/>
        <charset val="1"/>
      </rPr>
      <t xml:space="preserve">. ②</t>
    </r>
    <r>
      <rPr>
        <sz val="10"/>
        <rFont val="WenQuanYi Zen Hei"/>
        <family val="2"/>
      </rPr>
      <t xml:space="preserve">가 틀림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일부 틀림인데 ③</t>
    </r>
    <r>
      <rPr>
        <sz val="10"/>
        <rFont val="Arial"/>
        <family val="0"/>
        <charset val="1"/>
      </rPr>
      <t xml:space="preserve">·④</t>
    </r>
    <r>
      <rPr>
        <sz val="10"/>
        <rFont val="WenQuanYi Zen Hei"/>
        <family val="2"/>
      </rPr>
      <t xml:space="preserve">가 비어 있으면 ②가 빨간 글씨로 표시됩니다</t>
    </r>
    <r>
      <rPr>
        <sz val="10"/>
        <rFont val="Arial"/>
        <family val="0"/>
        <charset val="1"/>
      </rPr>
      <t xml:space="preserve">.</t>
    </r>
  </si>
  <si>
    <t xml:space="preserve">판단 기준</t>
  </si>
  <si>
    <r>
      <rPr>
        <sz val="10"/>
        <rFont val="WenQuanYi Zen Hei"/>
        <family val="2"/>
      </rPr>
      <t xml:space="preserve">과정명만 보고 애매하면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링크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열어 과정 소개를 확인합니다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그래도 애매하면 메모에 이유를 적습니다</t>
    </r>
    <r>
      <rPr>
        <sz val="10"/>
        <rFont val="Arial"/>
        <family val="0"/>
        <charset val="1"/>
      </rPr>
      <t xml:space="preserve">.</t>
    </r>
  </si>
  <si>
    <t xml:space="preserve">교차검수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</si>
  <si>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교차검수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개 과정은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배정과 다른 팀원이 한 번 더 판정합니다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팀원당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). '</t>
    </r>
    <r>
      <rPr>
        <sz val="10"/>
        <rFont val="WenQuanYi Zen Hei"/>
        <family val="2"/>
      </rPr>
      <t xml:space="preserve">교차 배정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에 적힌 팀원이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검수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시트의 판정을 보지 말고 독립적으로 입력해 주세요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두 판정의 일치율로 판정 기준이 팀원 간에 같은지 확인합니다</t>
    </r>
    <r>
      <rPr>
        <sz val="10"/>
        <rFont val="Arial"/>
        <family val="0"/>
        <charset val="1"/>
      </rPr>
      <t xml:space="preserve">.</t>
    </r>
  </si>
  <si>
    <t xml:space="preserve">결과 확인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</si>
  <si>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진행률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판정 분포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분야별 일치율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교차검수 일치율과 카파 계수가 자동으로 계산됩니다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</si>
  <si>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</si>
  <si>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WenQuanYi Zen Hei"/>
        <family val="2"/>
      </rPr>
      <t xml:space="preserve">고용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과정은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회차 기준이라 링크의 회차가 끝났을 수 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검수는 과정 내용 기준으로 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</si>
  <si>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입력 예시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검수 시트 형식</t>
    </r>
    <r>
      <rPr>
        <b val="true"/>
        <sz val="10"/>
        <rFont val="Arial"/>
        <family val="0"/>
        <charset val="1"/>
      </rPr>
      <t xml:space="preserve">)</t>
    </r>
  </si>
  <si>
    <t xml:space="preserve">과정명</t>
  </si>
  <si>
    <t xml:space="preserve">채용에서 퇴직까지 인사노무관리 핵심실무</t>
  </si>
  <si>
    <t xml:space="preserve">자동 연결 분야</t>
  </si>
  <si>
    <r>
      <rPr>
        <sz val="10"/>
        <rFont val="WenQuanYi Zen Hei"/>
        <family val="2"/>
      </rPr>
      <t xml:space="preserve">인재채용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노사관계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노무</t>
    </r>
  </si>
  <si>
    <t xml:space="preserve">① 관련 여부</t>
  </si>
  <si>
    <t xml:space="preserve">관련</t>
  </si>
  <si>
    <t xml:space="preserve">② 판정</t>
  </si>
  <si>
    <t xml:space="preserve">일부 틀림</t>
  </si>
  <si>
    <t xml:space="preserve">③ 추가할 분야</t>
  </si>
  <si>
    <r>
      <rPr>
        <sz val="10"/>
        <rFont val="WenQuanYi Zen Hei"/>
        <family val="2"/>
      </rPr>
      <t xml:space="preserve">보상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급여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복리후생</t>
    </r>
  </si>
  <si>
    <t xml:space="preserve">④ 뺄 분야</t>
  </si>
  <si>
    <t xml:space="preserve">메모</t>
  </si>
  <si>
    <r>
      <rPr>
        <sz val="10"/>
        <rFont val="WenQuanYi Zen Hei"/>
        <family val="2"/>
      </rPr>
      <t xml:space="preserve">목차에 급여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퇴직금 계산 포함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링크 확인</t>
    </r>
    <r>
      <rPr>
        <sz val="10"/>
        <rFont val="Arial"/>
        <family val="0"/>
        <charset val="1"/>
      </rPr>
      <t xml:space="preserve">)</t>
    </r>
  </si>
  <si>
    <t xml:space="preserve">번호</t>
  </si>
  <si>
    <r>
      <rPr>
        <b val="true"/>
        <sz val="10"/>
        <color rgb="FFFFFFFF"/>
        <rFont val="WenQuanYi Zen Hei"/>
        <family val="2"/>
      </rPr>
      <t xml:space="preserve">과정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</si>
  <si>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기관</t>
  </si>
  <si>
    <t xml:space="preserve">플랫폼</t>
  </si>
  <si>
    <t xml:space="preserve">링크</t>
  </si>
  <si>
    <r>
      <rPr>
        <b val="true"/>
        <sz val="10"/>
        <color rgb="FFFFFFFF"/>
        <rFont val="WenQuanYi Zen Hei"/>
        <family val="2"/>
      </rPr>
      <t xml:space="preserve">기존 역량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키워드 분류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</si>
  <si>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연결 근거 키워드</t>
  </si>
  <si>
    <r>
      <rPr>
        <b val="true"/>
        <sz val="10"/>
        <color rgb="FFFFFFFF"/>
        <rFont val="WenQuanYi Zen Hei"/>
        <family val="2"/>
      </rPr>
      <t xml:space="preserve">① 인사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총무 관련 여부</t>
    </r>
  </si>
  <si>
    <t xml:space="preserve">검수자</t>
  </si>
  <si>
    <t xml:space="preserve">검수일</t>
  </si>
  <si>
    <r>
      <rPr>
        <sz val="10"/>
        <rFont val="WenQuanYi Zen Hei"/>
        <family val="2"/>
      </rPr>
      <t xml:space="preserve">팀원</t>
    </r>
    <r>
      <rPr>
        <sz val="10"/>
        <rFont val="Arial"/>
        <family val="0"/>
        <charset val="1"/>
      </rPr>
      <t xml:space="preserve">A</t>
    </r>
  </si>
  <si>
    <t xml:space="preserve">PUB_ACG20243000973001_324</t>
  </si>
  <si>
    <t xml:space="preserve">알베르토와 함께하는 글로벌 비즈니스 매너</t>
  </si>
  <si>
    <t xml:space="preserve">에듀퓨어</t>
  </si>
  <si>
    <r>
      <rPr>
        <sz val="10"/>
        <rFont val="WenQuanYi Zen Hei"/>
        <family val="2"/>
      </rPr>
      <t xml:space="preserve">고용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국민내일배움카드</t>
    </r>
  </si>
  <si>
    <t xml:space="preserve">열기</t>
  </si>
  <si>
    <t xml:space="preserve">비즈니스 매너 및 커뮤니케이션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</si>
  <si>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</si>
  <si>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팀원</t>
    </r>
    <r>
      <rPr>
        <sz val="10"/>
        <rFont val="Arial"/>
        <family val="0"/>
        <charset val="1"/>
      </rPr>
      <t xml:space="preserve">B</t>
    </r>
  </si>
  <si>
    <t xml:space="preserve">PUB_ACG20243001004189_245</t>
  </si>
  <si>
    <r>
      <rPr>
        <sz val="10"/>
        <rFont val="WenQuanYi Zen Hei"/>
        <family val="2"/>
      </rPr>
      <t xml:space="preserve">기획력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어떻게 끌리는 플랜을 세울 것인가</t>
    </r>
    <r>
      <rPr>
        <sz val="10"/>
        <rFont val="Arial"/>
        <family val="0"/>
        <charset val="1"/>
      </rPr>
      <t xml:space="preserve">?</t>
    </r>
  </si>
  <si>
    <t xml:space="preserve">문서작성 및 기획</t>
  </si>
  <si>
    <r>
      <rPr>
        <sz val="10"/>
        <rFont val="WenQuanYi Zen Hei"/>
        <family val="2"/>
      </rPr>
      <t xml:space="preserve">팀원</t>
    </r>
    <r>
      <rPr>
        <sz val="10"/>
        <rFont val="Arial"/>
        <family val="0"/>
        <charset val="1"/>
      </rPr>
      <t xml:space="preserve">C</t>
    </r>
  </si>
  <si>
    <t xml:space="preserve">PUB_ABA20243001045717_58</t>
  </si>
  <si>
    <r>
      <rPr>
        <sz val="10"/>
        <rFont val="WenQuanYi Zen Hei"/>
        <family val="2"/>
      </rPr>
      <t xml:space="preserve">핵심만 콕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회사의 가치를 높여주는 홍보전략</t>
    </r>
  </si>
  <si>
    <r>
      <rPr>
        <sz val="10"/>
        <rFont val="WenQuanYi Zen Hei"/>
        <family val="2"/>
      </rPr>
      <t xml:space="preserve">고용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사업주훈련</t>
    </r>
  </si>
  <si>
    <r>
      <rPr>
        <sz val="10"/>
        <rFont val="WenQuanYi Zen Hei"/>
        <family val="2"/>
      </rPr>
      <t xml:space="preserve">팀원</t>
    </r>
    <r>
      <rPr>
        <sz val="10"/>
        <rFont val="Arial"/>
        <family val="0"/>
        <charset val="1"/>
      </rPr>
      <t xml:space="preserve">D</t>
    </r>
  </si>
  <si>
    <t xml:space="preserve">PUB_ABA20243001011994_6</t>
  </si>
  <si>
    <t xml:space="preserve">품격 있게 승리하는 직장인의 말하기 기술</t>
  </si>
  <si>
    <r>
      <rPr>
        <sz val="10"/>
        <rFont val="WenQuanYi Zen Hei"/>
        <family val="2"/>
      </rPr>
      <t xml:space="preserve">고려아카데미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원격</t>
    </r>
    <r>
      <rPr>
        <sz val="10"/>
        <rFont val="Arial"/>
        <family val="0"/>
        <charset val="1"/>
      </rPr>
      <t xml:space="preserve">)</t>
    </r>
  </si>
  <si>
    <t xml:space="preserve">PUB_ABA20243001012836_203</t>
  </si>
  <si>
    <r>
      <rPr>
        <sz val="10"/>
        <rFont val="WenQuanYi Zen Hei"/>
        <family val="2"/>
      </rPr>
      <t xml:space="preserve">달콤한 업무꿀팁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평범한 당신이 비범하게 일하는 기술</t>
    </r>
  </si>
  <si>
    <t xml:space="preserve">PUB_ABA20243000994834_261</t>
  </si>
  <si>
    <r>
      <rPr>
        <sz val="10"/>
        <rFont val="WenQuanYi Zen Hei"/>
        <family val="2"/>
      </rPr>
      <t xml:space="preserve">핵심만 콕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비즈니스 글쓰기와 보고서 작성 노하우</t>
    </r>
  </si>
  <si>
    <r>
      <rPr>
        <sz val="10"/>
        <rFont val="WenQuanYi Zen Hei"/>
        <family val="2"/>
      </rPr>
      <t xml:space="preserve">에듀퓨어 외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곳</t>
    </r>
  </si>
  <si>
    <t xml:space="preserve">PUB_ABA20243001049771_3</t>
  </si>
  <si>
    <r>
      <rPr>
        <sz val="10"/>
        <rFont val="WenQuanYi Zen Hei"/>
        <family val="2"/>
      </rPr>
      <t xml:space="preserve">빨리 배워 바로 쓰는 엑셀 </t>
    </r>
    <r>
      <rPr>
        <sz val="10"/>
        <rFont val="Arial"/>
        <family val="0"/>
        <charset val="1"/>
      </rPr>
      <t xml:space="preserve">2013</t>
    </r>
  </si>
  <si>
    <t xml:space="preserve">휴넷</t>
  </si>
  <si>
    <t xml:space="preserve">PUB_ABA20243001011985_5</t>
  </si>
  <si>
    <r>
      <rPr>
        <sz val="10"/>
        <rFont val="WenQuanYi Zen Hei"/>
        <family val="2"/>
      </rPr>
      <t xml:space="preserve">직장 생존력 </t>
    </r>
    <r>
      <rPr>
        <sz val="10"/>
        <rFont val="Arial"/>
        <family val="0"/>
        <charset val="1"/>
      </rPr>
      <t xml:space="preserve">UP! </t>
    </r>
    <r>
      <rPr>
        <sz val="10"/>
        <rFont val="WenQuanYi Zen Hei"/>
        <family val="2"/>
      </rPr>
      <t xml:space="preserve">데이터 마인드셋 장착하기</t>
    </r>
  </si>
  <si>
    <t xml:space="preserve">PUB_ABA20243000972962_324</t>
  </si>
  <si>
    <t xml:space="preserve">한달 공부로 실무에 바로 통하는 데이터분석</t>
  </si>
  <si>
    <t xml:space="preserve">PUB_ACG20243001038036_84</t>
  </si>
  <si>
    <t xml:space="preserve">전략적 조직운영을 위한 인사관리 실무</t>
  </si>
  <si>
    <r>
      <rPr>
        <sz val="10"/>
        <rFont val="WenQuanYi Zen Hei"/>
        <family val="2"/>
      </rPr>
      <t xml:space="preserve">에듀퓨어 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</si>
  <si>
    <t xml:space="preserve">인력채용</t>
  </si>
  <si>
    <t xml:space="preserve">PUB_ACG20243001023998_11</t>
  </si>
  <si>
    <t xml:space="preserve">총무기획과 총무자산관리</t>
  </si>
  <si>
    <r>
      <rPr>
        <sz val="10"/>
        <rFont val="WenQuanYi Zen Hei"/>
        <family val="2"/>
      </rPr>
      <t xml:space="preserve">이룸캠퍼스 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</si>
  <si>
    <t xml:space="preserve">비품 및 자산관리</t>
  </si>
  <si>
    <t xml:space="preserve">PUB_ACG20243001054796_4</t>
  </si>
  <si>
    <r>
      <rPr>
        <sz val="10"/>
        <rFont val="WenQuanYi Zen Hei"/>
        <family val="2"/>
      </rPr>
      <t xml:space="preserve">케이지에듀원 원격평생교육원 외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곳</t>
    </r>
  </si>
  <si>
    <t xml:space="preserve">근로관계 법률 준수</t>
  </si>
  <si>
    <r>
      <rPr>
        <sz val="10"/>
        <rFont val="WenQuanYi Zen Hei"/>
        <family val="2"/>
      </rPr>
      <t xml:space="preserve">노무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채용</t>
    </r>
  </si>
  <si>
    <t xml:space="preserve">PUB_ACG20243001052023_28</t>
  </si>
  <si>
    <r>
      <rPr>
        <sz val="10"/>
        <rFont val="Arial"/>
        <family val="0"/>
        <charset val="1"/>
      </rPr>
      <t xml:space="preserve">NEW </t>
    </r>
    <r>
      <rPr>
        <sz val="10"/>
        <rFont val="WenQuanYi Zen Hei"/>
        <family val="2"/>
      </rPr>
      <t xml:space="preserve">업무에서 활용가능한 실전 근로기준법</t>
    </r>
  </si>
  <si>
    <r>
      <rPr>
        <sz val="10"/>
        <rFont val="WenQuanYi Zen Hei"/>
        <family val="2"/>
      </rPr>
      <t xml:space="preserve">에듀퓨어 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곳</t>
    </r>
  </si>
  <si>
    <r>
      <rPr>
        <sz val="10"/>
        <rFont val="WenQuanYi Zen Hei"/>
        <family val="2"/>
      </rPr>
      <t xml:space="preserve">노사관계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노무</t>
    </r>
  </si>
  <si>
    <t xml:space="preserve">근로기준법</t>
  </si>
  <si>
    <t xml:space="preserve">PUB_ACG20243001036448_16</t>
  </si>
  <si>
    <t xml:space="preserve">실무사례로 알아보는 근로기준법</t>
  </si>
  <si>
    <t xml:space="preserve">중앙법률원격평생교육원</t>
  </si>
  <si>
    <t xml:space="preserve">PUB_ACG20243001004851_141</t>
  </si>
  <si>
    <t xml:space="preserve">인사평가체계 구축 및 운영 방법</t>
  </si>
  <si>
    <r>
      <rPr>
        <sz val="10"/>
        <rFont val="WenQuanYi Zen Hei"/>
        <family val="2"/>
      </rPr>
      <t xml:space="preserve">케이스원격평생교육원 외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곳</t>
    </r>
  </si>
  <si>
    <t xml:space="preserve">인사평가 및 보상</t>
  </si>
  <si>
    <r>
      <rPr>
        <sz val="10"/>
        <rFont val="WenQuanYi Zen Hei"/>
        <family val="2"/>
      </rPr>
      <t xml:space="preserve">성과평가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목표관리</t>
    </r>
  </si>
  <si>
    <r>
      <rPr>
        <sz val="10"/>
        <rFont val="WenQuanYi Zen Hei"/>
        <family val="2"/>
      </rPr>
      <t xml:space="preserve">인사평가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평가체계</t>
    </r>
  </si>
  <si>
    <t xml:space="preserve">PUB_AIG20220000383835_15</t>
  </si>
  <si>
    <t xml:space="preserve">채용에서 퇴직까지 인사관리 실무</t>
  </si>
  <si>
    <t xml:space="preserve">더존평생교육원</t>
  </si>
  <si>
    <t xml:space="preserve">인재채용</t>
  </si>
  <si>
    <t xml:space="preserve">채용</t>
  </si>
  <si>
    <t xml:space="preserve">PUB_AIG20240000492923_1</t>
  </si>
  <si>
    <t xml:space="preserve">채용에서 퇴직까지 인사노무임금관리실무</t>
  </si>
  <si>
    <t xml:space="preserve">씨에프오아카데미평생교육원</t>
  </si>
  <si>
    <r>
      <rPr>
        <sz val="10"/>
        <rFont val="WenQuanYi Zen Hei"/>
        <family val="2"/>
      </rPr>
      <t xml:space="preserve">인재채용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급여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복리후생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노사관계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노무</t>
    </r>
  </si>
  <si>
    <r>
      <rPr>
        <sz val="10"/>
        <rFont val="WenQuanYi Zen Hei"/>
        <family val="2"/>
      </rPr>
      <t xml:space="preserve">노무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채용</t>
    </r>
  </si>
  <si>
    <t xml:space="preserve">PUB_AIG20240000475110_1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</si>
  <si>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일 완성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노동법 마스터</t>
    </r>
  </si>
  <si>
    <r>
      <rPr>
        <sz val="10"/>
        <rFont val="WenQuanYi Zen Hei"/>
        <family val="2"/>
      </rPr>
      <t xml:space="preserve">중앙경제</t>
    </r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교육원</t>
    </r>
  </si>
  <si>
    <t xml:space="preserve">노동법</t>
  </si>
  <si>
    <t xml:space="preserve">PUB_AIG20240000472845_1</t>
  </si>
  <si>
    <r>
      <rPr>
        <sz val="10"/>
        <rFont val="WenQuanYi Zen Hei"/>
        <family val="2"/>
      </rPr>
      <t xml:space="preserve">실전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인사평가제도 기획 방법론</t>
    </r>
  </si>
  <si>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에듀센터 인사드림</t>
    </r>
  </si>
  <si>
    <r>
      <rPr>
        <sz val="10"/>
        <rFont val="WenQuanYi Zen Hei"/>
        <family val="2"/>
      </rPr>
      <t xml:space="preserve">인사평가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평가제도</t>
    </r>
  </si>
  <si>
    <t xml:space="preserve">PUB_ABA20243001036526_9</t>
  </si>
  <si>
    <t xml:space="preserve">급변하는 비즈니스 환경의 총무관리 역할</t>
  </si>
  <si>
    <t xml:space="preserve">한국직장인교육센터평생교육원</t>
  </si>
  <si>
    <t xml:space="preserve">SQL_FASTCAMPUS_210569</t>
  </si>
  <si>
    <r>
      <rPr>
        <sz val="10"/>
        <rFont val="WenQuanYi Zen Hei"/>
        <family val="2"/>
      </rPr>
      <t xml:space="preserve">문서의 신이 알려주는 보고서의 법칙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비즈니스 글쓰기의 모든 것</t>
    </r>
  </si>
  <si>
    <t xml:space="preserve">패스트캠퍼스</t>
  </si>
  <si>
    <t xml:space="preserve">SQL_FASTCAMPUS_243273</t>
  </si>
  <si>
    <r>
      <rPr>
        <sz val="10"/>
        <rFont val="WenQuanYi Zen Hei"/>
        <family val="2"/>
      </rPr>
      <t xml:space="preserve">세계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대 컨설팅펌 출신 김영롱에게 배우는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 가치 보고서 작성법</t>
    </r>
  </si>
  <si>
    <t xml:space="preserve">SQL_FASTCAMPUS_249157</t>
  </si>
  <si>
    <r>
      <rPr>
        <sz val="10"/>
        <rFont val="WenQuanYi Zen Hei"/>
        <family val="2"/>
      </rPr>
      <t xml:space="preserve">맥킨지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제일기획 출신 김재성의 연봉을 올리는 보고서 </t>
    </r>
    <r>
      <rPr>
        <sz val="10"/>
        <rFont val="Arial"/>
        <family val="0"/>
        <charset val="1"/>
      </rPr>
      <t xml:space="preserve">&amp; </t>
    </r>
    <r>
      <rPr>
        <sz val="10"/>
        <rFont val="WenQuanYi Zen Hei"/>
        <family val="2"/>
      </rPr>
      <t xml:space="preserve">프레젠테이션 공식</t>
    </r>
  </si>
  <si>
    <t xml:space="preserve">SQL_FASTCAMPUS_252453</t>
  </si>
  <si>
    <r>
      <rPr>
        <sz val="10"/>
        <rFont val="WenQuanYi Zen Hei"/>
        <family val="2"/>
      </rPr>
      <t xml:space="preserve">평범한 대학생에서 억대 연봉 작가로</t>
    </r>
    <r>
      <rPr>
        <sz val="10"/>
        <rFont val="Arial"/>
        <family val="0"/>
        <charset val="1"/>
      </rPr>
      <t xml:space="preserve">! 500</t>
    </r>
    <r>
      <rPr>
        <sz val="10"/>
        <rFont val="WenQuanYi Zen Hei"/>
        <family val="2"/>
      </rPr>
      <t xml:space="preserve">개 예제로 끝내는 이모티콘 족집게 트레이닝</t>
    </r>
  </si>
  <si>
    <t xml:space="preserve">SQL_FASTCAMPUS_261333</t>
  </si>
  <si>
    <r>
      <rPr>
        <sz val="10"/>
        <rFont val="WenQuanYi Zen Hei"/>
        <family val="2"/>
      </rPr>
      <t xml:space="preserve">콜롬버스의 탐색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글로벌 시장 트렌드 분석 보고서 작성</t>
    </r>
  </si>
  <si>
    <t xml:space="preserve">SQL_GSEEK_3217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</si>
  <si>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창업공통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필수 근로기준법과 인사서식</t>
    </r>
  </si>
  <si>
    <r>
      <rPr>
        <sz val="10"/>
        <rFont val="WenQuanYi Zen Hei"/>
        <family val="2"/>
      </rPr>
      <t xml:space="preserve">경기도평생학습포털</t>
    </r>
    <r>
      <rPr>
        <sz val="10"/>
        <rFont val="Arial"/>
        <family val="0"/>
        <charset val="1"/>
      </rPr>
      <t xml:space="preserve">(GSEEK)</t>
    </r>
  </si>
  <si>
    <r>
      <rPr>
        <sz val="10"/>
        <rFont val="WenQuanYi Zen Hei"/>
        <family val="2"/>
      </rPr>
      <t xml:space="preserve">경기도 </t>
    </r>
    <r>
      <rPr>
        <sz val="10"/>
        <rFont val="Arial"/>
        <family val="0"/>
        <charset val="1"/>
      </rPr>
      <t xml:space="preserve">GSEEK</t>
    </r>
  </si>
  <si>
    <t xml:space="preserve">SQL_GSEEK_4378</t>
  </si>
  <si>
    <t xml:space="preserve">사용자에게 꼭 필요한 사이다 노동법</t>
  </si>
  <si>
    <t xml:space="preserve">SQL_GSEEK_5045</t>
  </si>
  <si>
    <t xml:space="preserve">소규모 사업장 랜선노동법</t>
  </si>
  <si>
    <t xml:space="preserve">SQL_GSEEK_5793</t>
  </si>
  <si>
    <t xml:space="preserve">소규모사업주가 알아야 할 노동법 상식</t>
  </si>
  <si>
    <t xml:space="preserve">SQL_GSEEK_5794</t>
  </si>
  <si>
    <t xml:space="preserve">알바가 꼭 알아야 할 기초노동법</t>
  </si>
  <si>
    <t xml:space="preserve">SQL_GSEEK_7414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</si>
  <si>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왕초보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컴퓨터로 문서작성 도전</t>
    </r>
  </si>
  <si>
    <t xml:space="preserve">SQL_GSEEK_8297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</si>
  <si>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오늘부터 정시퇴근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엑셀 실무 테크닉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일잘러의 보고서 작성편</t>
    </r>
  </si>
  <si>
    <r>
      <rPr>
        <sz val="10"/>
        <rFont val="WenQuanYi Zen Hei"/>
        <family val="2"/>
      </rPr>
      <t xml:space="preserve">경기도평생학습포털</t>
    </r>
    <r>
      <rPr>
        <sz val="10"/>
        <rFont val="Arial"/>
        <family val="0"/>
        <charset val="1"/>
      </rPr>
      <t xml:space="preserve">(GSEEK)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곳</t>
    </r>
  </si>
  <si>
    <t xml:space="preserve">SQL_GSEEK_51667</t>
  </si>
  <si>
    <r>
      <rPr>
        <sz val="10"/>
        <rFont val="WenQuanYi Zen Hei"/>
        <family val="2"/>
      </rPr>
      <t xml:space="preserve">따라만 하면 </t>
    </r>
    <r>
      <rPr>
        <sz val="10"/>
        <rFont val="Arial"/>
        <family val="0"/>
        <charset val="1"/>
      </rPr>
      <t xml:space="preserve">OK! </t>
    </r>
    <r>
      <rPr>
        <sz val="10"/>
        <rFont val="WenQuanYi Zen Hei"/>
        <family val="2"/>
      </rPr>
      <t xml:space="preserve">말이 되는 보고서 작성 원칙</t>
    </r>
  </si>
  <si>
    <t xml:space="preserve">SQL_GSEEK_51955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</si>
  <si>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레전드 스킬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어쩐지 끌리는 사람의 비즈니스 매너</t>
    </r>
  </si>
  <si>
    <t xml:space="preserve">SQL_GSEEK_52754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</si>
  <si>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칼퇴를 부르는 치트키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보고서편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핵심만 콕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비즈니스 문서작성의 핵심과 실무 스킬</t>
    </r>
  </si>
  <si>
    <t xml:space="preserve">SQL_GSEEK_55196</t>
  </si>
  <si>
    <r>
      <rPr>
        <sz val="10"/>
        <rFont val="WenQuanYi Zen Hei"/>
        <family val="2"/>
      </rPr>
      <t xml:space="preserve">인사담당자에게 묻는다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면접 합격의 비밀</t>
    </r>
  </si>
  <si>
    <t xml:space="preserve">면접</t>
  </si>
  <si>
    <t xml:space="preserve">SQL_GSEEK_55218</t>
  </si>
  <si>
    <t xml:space="preserve">경기도 스파크 노동법</t>
  </si>
  <si>
    <t xml:space="preserve">SQL_GSEEK_56932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</si>
  <si>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리프레시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핵심만 콕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신입사원 온보딩</t>
    </r>
  </si>
  <si>
    <r>
      <rPr>
        <sz val="10"/>
        <rFont val="WenQuanYi Zen Hei"/>
        <family val="2"/>
      </rPr>
      <t xml:space="preserve">온보딩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직원경험</t>
    </r>
  </si>
  <si>
    <r>
      <rPr>
        <sz val="10"/>
        <rFont val="WenQuanYi Zen Hei"/>
        <family val="2"/>
      </rPr>
      <t xml:space="preserve">신입사원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온보딩</t>
    </r>
  </si>
  <si>
    <t xml:space="preserve">SQL_GSEEK_57049</t>
  </si>
  <si>
    <r>
      <rPr>
        <sz val="10"/>
        <rFont val="Arial"/>
        <family val="0"/>
        <charset val="1"/>
      </rPr>
      <t xml:space="preserve">HR, AI</t>
    </r>
    <r>
      <rPr>
        <sz val="10"/>
        <rFont val="WenQuanYi Zen Hei"/>
        <family val="2"/>
      </rPr>
      <t xml:space="preserve">가 트렌드다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채용부터 퇴사까지</t>
    </r>
  </si>
  <si>
    <t xml:space="preserve">SQL_GSEEK_57110</t>
  </si>
  <si>
    <r>
      <rPr>
        <sz val="10"/>
        <rFont val="WenQuanYi Zen Hei"/>
        <family val="2"/>
      </rPr>
      <t xml:space="preserve">입사에서 퇴사까지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직장인을 위한 노동법 이야기</t>
    </r>
  </si>
  <si>
    <t xml:space="preserve">SQL_GSEEK_57944</t>
  </si>
  <si>
    <r>
      <rPr>
        <sz val="10"/>
        <rFont val="WenQuanYi Zen Hei"/>
        <family val="2"/>
      </rPr>
      <t xml:space="preserve">신규입사자의 온보딩 과정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워</t>
    </r>
    <r>
      <rPr>
        <sz val="10"/>
        <rFont val="Arial"/>
        <family val="0"/>
        <charset val="1"/>
      </rPr>
      <t xml:space="preserve">(Work).</t>
    </r>
    <r>
      <rPr>
        <sz val="10"/>
        <rFont val="WenQuanYi Zen Hei"/>
        <family val="2"/>
      </rPr>
      <t xml:space="preserve">플</t>
    </r>
    <r>
      <rPr>
        <sz val="10"/>
        <rFont val="Arial"/>
        <family val="0"/>
        <charset val="1"/>
      </rPr>
      <t xml:space="preserve">(People).</t>
    </r>
    <r>
      <rPr>
        <sz val="10"/>
        <rFont val="WenQuanYi Zen Hei"/>
        <family val="2"/>
      </rPr>
      <t xml:space="preserve">킹</t>
    </r>
    <r>
      <rPr>
        <sz val="10"/>
        <rFont val="Arial"/>
        <family val="0"/>
        <charset val="1"/>
      </rPr>
      <t xml:space="preserve">(Networking)</t>
    </r>
  </si>
  <si>
    <r>
      <rPr>
        <sz val="10"/>
        <rFont val="WenQuanYi Zen Hei"/>
        <family val="2"/>
      </rPr>
      <t xml:space="preserve">신규입사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온보딩</t>
    </r>
  </si>
  <si>
    <t xml:space="preserve">SQL_HUNET_Y00394865</t>
  </si>
  <si>
    <t xml:space="preserve">성과와 신뢰를 만드는 신임리더 온보딩</t>
  </si>
  <si>
    <t xml:space="preserve">온보딩</t>
  </si>
  <si>
    <t xml:space="preserve">SQL_HUNET_Y00391506</t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</si>
  <si>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로 조사하고</t>
    </r>
    <r>
      <rPr>
        <sz val="10"/>
        <rFont val="Arial"/>
        <family val="0"/>
        <charset val="1"/>
      </rPr>
      <t xml:space="preserve">, AI</t>
    </r>
    <r>
      <rPr>
        <sz val="10"/>
        <rFont val="WenQuanYi Zen Hei"/>
        <family val="2"/>
      </rPr>
      <t xml:space="preserve">로 작성하는 하루 만에 끝내는 보고서 작성법</t>
    </r>
  </si>
  <si>
    <t xml:space="preserve">SQL_HUNET_Y00386285</t>
  </si>
  <si>
    <r>
      <rPr>
        <sz val="10"/>
        <rFont val="WenQuanYi Zen Hei"/>
        <family val="2"/>
      </rPr>
      <t xml:space="preserve">이게 진짜 기준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직장인 노동법 팩트 체크</t>
    </r>
  </si>
  <si>
    <t xml:space="preserve">SQL_HUNET_Y00381740</t>
  </si>
  <si>
    <r>
      <rPr>
        <sz val="10"/>
        <rFont val="Arial"/>
        <family val="0"/>
        <charset val="1"/>
      </rPr>
      <t xml:space="preserve">[HRethink] </t>
    </r>
    <r>
      <rPr>
        <sz val="10"/>
        <rFont val="WenQuanYi Zen Hei"/>
        <family val="2"/>
      </rPr>
      <t xml:space="preserve">데이터가 흐르는 </t>
    </r>
    <r>
      <rPr>
        <sz val="10"/>
        <rFont val="Arial"/>
        <family val="0"/>
        <charset val="1"/>
      </rPr>
      <t xml:space="preserve">Digital HR</t>
    </r>
  </si>
  <si>
    <t xml:space="preserve">SQL_HUNET_Y00381743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</si>
  <si>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일잘러의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 스킬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기획력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문서작성력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보고법</t>
    </r>
  </si>
  <si>
    <t xml:space="preserve">SQL_HUNET_Y00367788</t>
  </si>
  <si>
    <r>
      <rPr>
        <sz val="10"/>
        <rFont val="Arial"/>
        <family val="0"/>
        <charset val="1"/>
      </rPr>
      <t xml:space="preserve">ChatGPT</t>
    </r>
    <r>
      <rPr>
        <sz val="10"/>
        <rFont val="WenQuanYi Zen Hei"/>
        <family val="2"/>
      </rPr>
      <t xml:space="preserve">가 다 해주는 요즘 보고서 작성법</t>
    </r>
  </si>
  <si>
    <t xml:space="preserve">SQL_HUNET_Y00354154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</si>
  <si>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팀장리더십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탁월한 팀장의 조건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성과관리</t>
    </r>
  </si>
  <si>
    <t xml:space="preserve">성과관리</t>
  </si>
  <si>
    <t xml:space="preserve">SQL_HUNET_Y00337189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</si>
  <si>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온보딩저니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경력사원 과정</t>
    </r>
  </si>
  <si>
    <t xml:space="preserve">SQL_HUNET_Y00350958</t>
  </si>
  <si>
    <t xml:space="preserve">부장님은 내 기획서가 쓰레기라고 말했지</t>
  </si>
  <si>
    <t xml:space="preserve">SQL_HUNET_Y00350960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</si>
  <si>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팀장리더십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애자일 성과관리</t>
    </r>
  </si>
  <si>
    <t xml:space="preserve">SQL_HUNET_Y00347025</t>
  </si>
  <si>
    <r>
      <rPr>
        <sz val="10"/>
        <rFont val="WenQuanYi Zen Hei"/>
        <family val="2"/>
      </rPr>
      <t xml:space="preserve">리더십 </t>
    </r>
    <r>
      <rPr>
        <sz val="10"/>
        <rFont val="Arial"/>
        <family val="0"/>
        <charset val="1"/>
      </rPr>
      <t xml:space="preserve">4.0 </t>
    </r>
    <r>
      <rPr>
        <sz val="10"/>
        <rFont val="WenQuanYi Zen Hei"/>
        <family val="2"/>
      </rPr>
      <t xml:space="preserve">시대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일잘러의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프로젝트 성과관리</t>
    </r>
  </si>
  <si>
    <t xml:space="preserve">SQL_HUNET_Y00319690</t>
  </si>
  <si>
    <r>
      <rPr>
        <sz val="10"/>
        <rFont val="WenQuanYi Zen Hei"/>
        <family val="2"/>
      </rPr>
      <t xml:space="preserve">평가에서 성과관리로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프레임을 전환하라</t>
    </r>
    <r>
      <rPr>
        <sz val="10"/>
        <rFont val="Arial"/>
        <family val="0"/>
        <charset val="1"/>
      </rPr>
      <t xml:space="preserve">!</t>
    </r>
  </si>
  <si>
    <t xml:space="preserve">SQL_HUNET_Y00317658</t>
  </si>
  <si>
    <r>
      <rPr>
        <sz val="10"/>
        <rFont val="WenQuanYi Zen Hei"/>
        <family val="2"/>
      </rPr>
      <t xml:space="preserve">채용을 디자인하라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기업에 </t>
    </r>
    <r>
      <rPr>
        <sz val="10"/>
        <rFont val="Arial"/>
        <family val="0"/>
        <charset val="1"/>
      </rPr>
      <t xml:space="preserve">FIT</t>
    </r>
    <r>
      <rPr>
        <sz val="10"/>
        <rFont val="WenQuanYi Zen Hei"/>
        <family val="2"/>
      </rPr>
      <t xml:space="preserve">한 인재 확보 전략</t>
    </r>
  </si>
  <si>
    <t xml:space="preserve">SQL_HUNET_Y00317659</t>
  </si>
  <si>
    <r>
      <rPr>
        <sz val="10"/>
        <rFont val="WenQuanYi Zen Hei"/>
        <family val="2"/>
      </rPr>
      <t xml:space="preserve">엔지니어 채용의 모든 것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테크 리크루팅 </t>
    </r>
    <r>
      <rPr>
        <sz val="10"/>
        <rFont val="Arial"/>
        <family val="0"/>
        <charset val="1"/>
      </rPr>
      <t xml:space="preserve">A TO Z</t>
    </r>
  </si>
  <si>
    <r>
      <rPr>
        <sz val="10"/>
        <rFont val="WenQuanYi Zen Hei"/>
        <family val="2"/>
      </rPr>
      <t xml:space="preserve">리크루팅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채용</t>
    </r>
  </si>
  <si>
    <t xml:space="preserve">SQL_HUNET_Y00303172</t>
  </si>
  <si>
    <r>
      <rPr>
        <sz val="10"/>
        <rFont val="WenQuanYi Zen Hei"/>
        <family val="2"/>
      </rPr>
      <t xml:space="preserve">터닝포인트 팀장리더십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성과관리</t>
    </r>
  </si>
  <si>
    <t xml:space="preserve">SQL_HUNET_Y00311834</t>
  </si>
  <si>
    <r>
      <rPr>
        <sz val="10"/>
        <rFont val="Arial"/>
        <family val="0"/>
        <charset val="1"/>
      </rPr>
      <t xml:space="preserve">ChatGPT</t>
    </r>
    <r>
      <rPr>
        <sz val="10"/>
        <rFont val="WenQuanYi Zen Hei"/>
        <family val="2"/>
      </rPr>
      <t xml:space="preserve">를 활용한 프리젠테이션</t>
    </r>
    <r>
      <rPr>
        <sz val="10"/>
        <rFont val="Arial"/>
        <family val="0"/>
        <charset val="1"/>
      </rPr>
      <t xml:space="preserve">&amp;</t>
    </r>
    <r>
      <rPr>
        <sz val="10"/>
        <rFont val="WenQuanYi Zen Hei"/>
        <family val="2"/>
      </rPr>
      <t xml:space="preserve">기획서 순삭하기</t>
    </r>
  </si>
  <si>
    <t xml:space="preserve">SQL_HUNET_Y00300119</t>
  </si>
  <si>
    <r>
      <rPr>
        <sz val="10"/>
        <rFont val="WenQuanYi Zen Hei"/>
        <family val="2"/>
      </rPr>
      <t xml:space="preserve">글쓰기가 두려운 직장인을 위한 비즈니스 글쓰기 공략</t>
    </r>
    <r>
      <rPr>
        <sz val="10"/>
        <rFont val="Arial"/>
        <family val="0"/>
        <charset val="1"/>
      </rPr>
      <t xml:space="preserve">zip</t>
    </r>
  </si>
  <si>
    <t xml:space="preserve">SQL_HUNET_Y00298379</t>
  </si>
  <si>
    <r>
      <rPr>
        <sz val="10"/>
        <rFont val="WenQuanYi Zen Hei"/>
        <family val="2"/>
      </rPr>
      <t xml:space="preserve">컴팩트한 문서작성과 퍼펙트한 보고기법</t>
    </r>
    <r>
      <rPr>
        <sz val="10"/>
        <rFont val="Arial"/>
        <family val="0"/>
        <charset val="1"/>
      </rPr>
      <t xml:space="preserve">!</t>
    </r>
  </si>
  <si>
    <t xml:space="preserve">SQL_HUNET_Y00298381</t>
  </si>
  <si>
    <t xml:space="preserve">인재전쟁에서 승리하는 면접관 인터뷰 스킬</t>
  </si>
  <si>
    <t xml:space="preserve">SQL_HUNET_Y00265994</t>
  </si>
  <si>
    <r>
      <rPr>
        <sz val="10"/>
        <rFont val="Arial"/>
        <family val="0"/>
        <charset val="1"/>
      </rPr>
      <t xml:space="preserve">SSS</t>
    </r>
    <r>
      <rPr>
        <sz val="10"/>
        <rFont val="WenQuanYi Zen Hei"/>
        <family val="2"/>
      </rPr>
      <t xml:space="preserve">급 확보를 위한 면접관 교육 </t>
    </r>
    <r>
      <rPr>
        <sz val="10"/>
        <rFont val="Arial"/>
        <family val="0"/>
        <charset val="1"/>
      </rPr>
      <t xml:space="preserve">(feat. AI 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)</t>
    </r>
  </si>
  <si>
    <t xml:space="preserve">SQL_HUNET_Y00265995</t>
  </si>
  <si>
    <t xml:space="preserve">핵심인재를 부르는 고용주 브랜딩과 채용 경험 디자인</t>
  </si>
  <si>
    <t xml:space="preserve">SQL_HUNET_Y00265996</t>
  </si>
  <si>
    <r>
      <rPr>
        <sz val="10"/>
        <rFont val="WenQuanYi Zen Hei"/>
        <family val="2"/>
      </rPr>
      <t xml:space="preserve">오늘 온 신입사원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온보딩 전략 </t>
    </r>
    <r>
      <rPr>
        <sz val="10"/>
        <rFont val="Arial"/>
        <family val="0"/>
        <charset val="1"/>
      </rPr>
      <t xml:space="preserve">ON </t>
    </r>
    <r>
      <rPr>
        <sz val="10"/>
        <rFont val="WenQuanYi Zen Hei"/>
        <family val="2"/>
      </rPr>
      <t xml:space="preserve">하기</t>
    </r>
  </si>
  <si>
    <t xml:space="preserve">SQL_HUNET_Y00260034</t>
  </si>
  <si>
    <r>
      <rPr>
        <sz val="10"/>
        <rFont val="Arial"/>
        <family val="0"/>
        <charset val="1"/>
      </rPr>
      <t xml:space="preserve">SSS</t>
    </r>
    <r>
      <rPr>
        <sz val="10"/>
        <rFont val="WenQuanYi Zen Hei"/>
        <family val="2"/>
      </rPr>
      <t xml:space="preserve">급 확보를 위한 면접관 교육</t>
    </r>
  </si>
  <si>
    <t xml:space="preserve">SQL_HUNET_Y00245649</t>
  </si>
  <si>
    <r>
      <rPr>
        <sz val="10"/>
        <rFont val="WenQuanYi Zen Hei"/>
        <family val="2"/>
      </rPr>
      <t xml:space="preserve">핵심만 콕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신입사원 온보딩</t>
    </r>
  </si>
  <si>
    <t xml:space="preserve">SQL_HUNET_Y00216064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</si>
  <si>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북러닝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투잡하는 김 대리는 취업규칙을 위반했을까</t>
    </r>
    <r>
      <rPr>
        <sz val="10"/>
        <rFont val="Arial"/>
        <family val="0"/>
        <charset val="1"/>
      </rPr>
      <t xml:space="preserve">?(</t>
    </r>
    <r>
      <rPr>
        <sz val="10"/>
        <rFont val="WenQuanYi Zen Hei"/>
        <family val="2"/>
      </rPr>
      <t xml:space="preserve">도서 제공</t>
    </r>
    <r>
      <rPr>
        <sz val="10"/>
        <rFont val="Arial"/>
        <family val="0"/>
        <charset val="1"/>
      </rPr>
      <t xml:space="preserve">)</t>
    </r>
  </si>
  <si>
    <t xml:space="preserve">취업규칙</t>
  </si>
  <si>
    <t xml:space="preserve">SQL_HUNET_Y00183408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</si>
  <si>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북러닝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일잘러는 이렇게 일한다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일잘러의 보고서 작성법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도서 제공</t>
    </r>
    <r>
      <rPr>
        <sz val="10"/>
        <rFont val="Arial"/>
        <family val="0"/>
        <charset val="1"/>
      </rPr>
      <t xml:space="preserve">)</t>
    </r>
  </si>
  <si>
    <t xml:space="preserve">SQL_HUNET_Y00161578</t>
  </si>
  <si>
    <r>
      <rPr>
        <sz val="10"/>
        <rFont val="WenQuanYi Zen Hei"/>
        <family val="2"/>
      </rPr>
      <t xml:space="preserve">실례합니다만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비즈니스 매너는 지켜주시겠어요</t>
    </r>
    <r>
      <rPr>
        <sz val="10"/>
        <rFont val="Arial"/>
        <family val="0"/>
        <charset val="1"/>
      </rPr>
      <t xml:space="preserve">?</t>
    </r>
  </si>
  <si>
    <t xml:space="preserve">SQL_HUNET_Y00141106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</si>
  <si>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카드뉴스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슬기로운 기획생활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기획서 작성부터 보고까지</t>
    </r>
    <r>
      <rPr>
        <sz val="10"/>
        <rFont val="Arial"/>
        <family val="0"/>
        <charset val="1"/>
      </rPr>
      <t xml:space="preserve">)</t>
    </r>
  </si>
  <si>
    <t xml:space="preserve">SQL_HUNET_Y00117074</t>
  </si>
  <si>
    <r>
      <rPr>
        <sz val="10"/>
        <rFont val="Arial"/>
        <family val="0"/>
        <charset val="1"/>
      </rPr>
      <t xml:space="preserve">1 PAGE</t>
    </r>
    <r>
      <rPr>
        <sz val="10"/>
        <rFont val="WenQuanYi Zen Hei"/>
        <family val="2"/>
      </rPr>
      <t xml:space="preserve">로 승부하라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강력한 한 장의 기획서</t>
    </r>
  </si>
  <si>
    <t xml:space="preserve">SQL_HUNET_Y00030777</t>
  </si>
  <si>
    <r>
      <rPr>
        <sz val="10"/>
        <rFont val="WenQuanYi Zen Hei"/>
        <family val="2"/>
      </rPr>
      <t xml:space="preserve">전략적 인재 육성을 위한 </t>
    </r>
    <r>
      <rPr>
        <sz val="10"/>
        <rFont val="Arial"/>
        <family val="0"/>
        <charset val="1"/>
      </rPr>
      <t xml:space="preserve">HRD </t>
    </r>
    <r>
      <rPr>
        <sz val="10"/>
        <rFont val="WenQuanYi Zen Hei"/>
        <family val="2"/>
      </rPr>
      <t xml:space="preserve">에센스</t>
    </r>
  </si>
  <si>
    <r>
      <rPr>
        <sz val="10"/>
        <rFont val="WenQuanYi Zen Hei"/>
        <family val="2"/>
      </rPr>
      <t xml:space="preserve">인재육성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사내교육</t>
    </r>
  </si>
  <si>
    <t xml:space="preserve">hrd</t>
  </si>
  <si>
    <t xml:space="preserve">SQL_HUNET_Y00004543</t>
  </si>
  <si>
    <t xml:space="preserve">직장인을 위한 비즈니스 매너 에센스</t>
  </si>
  <si>
    <t xml:space="preserve">SQL_KMA_111429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</si>
  <si>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교육과정 기획과 개발</t>
    </r>
  </si>
  <si>
    <t xml:space="preserve">한국능률협회</t>
  </si>
  <si>
    <r>
      <rPr>
        <sz val="10"/>
        <rFont val="WenQuanYi Zen Hei"/>
        <family val="2"/>
      </rPr>
      <t xml:space="preserve">한국능률협회</t>
    </r>
    <r>
      <rPr>
        <sz val="10"/>
        <rFont val="Arial"/>
        <family val="0"/>
        <charset val="1"/>
      </rPr>
      <t xml:space="preserve">(KMA)</t>
    </r>
  </si>
  <si>
    <t xml:space="preserve">교육과정</t>
  </si>
  <si>
    <t xml:space="preserve">SQL_KMA_111431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</si>
  <si>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[</t>
    </r>
    <r>
      <rPr>
        <sz val="10"/>
        <rFont val="WenQuanYi Zen Hei"/>
        <family val="2"/>
      </rPr>
      <t xml:space="preserve">민간자격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기업교육</t>
    </r>
    <r>
      <rPr>
        <sz val="10"/>
        <rFont val="Arial"/>
        <family val="0"/>
        <charset val="1"/>
      </rPr>
      <t xml:space="preserve">(HRD) </t>
    </r>
    <r>
      <rPr>
        <sz val="10"/>
        <rFont val="WenQuanYi Zen Hei"/>
        <family val="2"/>
      </rPr>
      <t xml:space="preserve">게이미피케이션 활용 스킬업</t>
    </r>
  </si>
  <si>
    <t xml:space="preserve">SQL_KMA_111203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</si>
  <si>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강남</t>
    </r>
    <r>
      <rPr>
        <sz val="10"/>
        <rFont val="Arial"/>
        <family val="0"/>
        <charset val="1"/>
      </rPr>
      <t xml:space="preserve">] [</t>
    </r>
    <r>
      <rPr>
        <sz val="10"/>
        <rFont val="WenQuanYi Zen Hei"/>
        <family val="2"/>
      </rPr>
      <t xml:space="preserve">민간자격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기업교육</t>
    </r>
    <r>
      <rPr>
        <sz val="10"/>
        <rFont val="Arial"/>
        <family val="0"/>
        <charset val="1"/>
      </rPr>
      <t xml:space="preserve">(HRD) </t>
    </r>
    <r>
      <rPr>
        <sz val="10"/>
        <rFont val="WenQuanYi Zen Hei"/>
        <family val="2"/>
      </rPr>
      <t xml:space="preserve">게이미피케이션 활용 스킬업</t>
    </r>
  </si>
  <si>
    <t xml:space="preserve">SQL_KMA_111455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</si>
  <si>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리더의 성과관리 핵심 매뉴얼</t>
    </r>
  </si>
  <si>
    <t xml:space="preserve">SQL_KMA_111454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</si>
  <si>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리더를 위한 차세대 성과관리 전략 </t>
    </r>
    <r>
      <rPr>
        <sz val="10"/>
        <rFont val="Arial"/>
        <family val="0"/>
        <charset val="1"/>
      </rPr>
      <t xml:space="preserve">&amp;#39;</t>
    </r>
    <r>
      <rPr>
        <sz val="10"/>
        <rFont val="WenQuanYi Zen Hei"/>
        <family val="2"/>
      </rPr>
      <t xml:space="preserve">피드포워드</t>
    </r>
    <r>
      <rPr>
        <sz val="10"/>
        <rFont val="Arial"/>
        <family val="0"/>
        <charset val="1"/>
      </rPr>
      <t xml:space="preserve">&amp;#39;</t>
    </r>
  </si>
  <si>
    <t xml:space="preserve">SQL_KMA_111663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</si>
  <si>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수시 경력입사자 온보딩</t>
    </r>
  </si>
  <si>
    <t xml:space="preserve">SQL_KMA_111391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</si>
  <si>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설득력 있는 실전 보고서 작성 스킬</t>
    </r>
    <r>
      <rPr>
        <sz val="10"/>
        <rFont val="Arial"/>
        <family val="0"/>
        <charset val="1"/>
      </rPr>
      <t xml:space="preserve">(with MS Office)</t>
    </r>
  </si>
  <si>
    <t xml:space="preserve">SQL_KMA_112242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</si>
  <si>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AI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MS Office</t>
    </r>
    <r>
      <rPr>
        <sz val="10"/>
        <rFont val="WenQuanYi Zen Hei"/>
        <family val="2"/>
      </rPr>
      <t xml:space="preserve">로 끝내는 기획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보고서 작성 실무</t>
    </r>
  </si>
  <si>
    <t xml:space="preserve">SQL_KMA_111395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</si>
  <si>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정책보고서 작성의 길잡이</t>
    </r>
  </si>
  <si>
    <t xml:space="preserve">SQL_KMA_111308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</si>
  <si>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GPT-5 ∙ R ∙ Python</t>
    </r>
    <r>
      <rPr>
        <sz val="10"/>
        <rFont val="WenQuanYi Zen Hei"/>
        <family val="2"/>
      </rPr>
      <t xml:space="preserve">을 활용한 빅데이터 분석 및 보고서 작성</t>
    </r>
  </si>
  <si>
    <t xml:space="preserve">SQL_KMA_111156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</si>
  <si>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/PPT </t>
    </r>
    <r>
      <rPr>
        <sz val="10"/>
        <rFont val="WenQuanYi Zen Hei"/>
        <family val="2"/>
      </rPr>
      <t xml:space="preserve">보고서 작성</t>
    </r>
  </si>
  <si>
    <t xml:space="preserve">SQL_KMA_111157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</si>
  <si>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AI</t>
    </r>
    <r>
      <rPr>
        <sz val="10"/>
        <rFont val="WenQuanYi Zen Hei"/>
        <family val="2"/>
      </rPr>
      <t xml:space="preserve">로 더 빠른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일잘러의 원페이지 보고서 작성 비법</t>
    </r>
  </si>
  <si>
    <t xml:space="preserve">SQL_KMA_111399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</si>
  <si>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맥킨지 방식의 비즈니스 보고서 작성 스킬</t>
    </r>
  </si>
  <si>
    <t xml:space="preserve">SQL_KMA_111158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</si>
  <si>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일잘러의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활용 기획 및 기획서 작성 </t>
    </r>
    <r>
      <rPr>
        <sz val="10"/>
        <rFont val="Arial"/>
        <family val="0"/>
        <charset val="1"/>
      </rPr>
      <t xml:space="preserve">A to Z</t>
    </r>
  </si>
  <si>
    <t xml:space="preserve">SQL_KMA_111215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</si>
  <si>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비대면</t>
    </r>
    <r>
      <rPr>
        <sz val="10"/>
        <rFont val="Arial"/>
        <family val="0"/>
        <charset val="1"/>
      </rPr>
      <t xml:space="preserve">] AI</t>
    </r>
    <r>
      <rPr>
        <sz val="10"/>
        <rFont val="WenQuanYi Zen Hei"/>
        <family val="2"/>
      </rPr>
      <t xml:space="preserve">로 더 빠른</t>
    </r>
    <r>
      <rPr>
        <sz val="10"/>
        <rFont val="Arial"/>
        <family val="0"/>
        <charset val="1"/>
      </rPr>
      <t xml:space="preserve">! </t>
    </r>
    <r>
      <rPr>
        <sz val="10"/>
        <rFont val="WenQuanYi Zen Hei"/>
        <family val="2"/>
      </rPr>
      <t xml:space="preserve">일잘러의 원페이지 보고서 작성 비법</t>
    </r>
  </si>
  <si>
    <t xml:space="preserve">SQL_KMA_111216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</si>
  <si>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비대면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일잘러의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활용 기획 및 기획서 작성 </t>
    </r>
    <r>
      <rPr>
        <sz val="10"/>
        <rFont val="Arial"/>
        <family val="0"/>
        <charset val="1"/>
      </rPr>
      <t xml:space="preserve">A to Z</t>
    </r>
  </si>
  <si>
    <t xml:space="preserve">SQL_KMA_111394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</si>
  <si>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맥킨지컨설팅 방식의 비즈니스 보고서 작성 실무</t>
    </r>
  </si>
  <si>
    <t xml:space="preserve">SQL_KMA_111398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</si>
  <si>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한번에 통하는 원페이지 보고서 작성 실무</t>
    </r>
  </si>
  <si>
    <t xml:space="preserve">SQL_KMA_112195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</si>
  <si>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한번에 통하는 원페이지 보고서 작성 스킬 </t>
    </r>
    <r>
      <rPr>
        <sz val="10"/>
        <rFont val="Arial"/>
        <family val="0"/>
        <charset val="1"/>
      </rPr>
      <t xml:space="preserve">(with AI)</t>
    </r>
  </si>
  <si>
    <t xml:space="preserve">SQL_KMA_112193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</si>
  <si>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맥킨지컨설팅 방식의 비즈니스 보고서 작성 실무 </t>
    </r>
    <r>
      <rPr>
        <sz val="10"/>
        <rFont val="Arial"/>
        <family val="0"/>
        <charset val="1"/>
      </rPr>
      <t xml:space="preserve">(with AI)</t>
    </r>
  </si>
  <si>
    <t xml:space="preserve">SQL_KMA_112092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</si>
  <si>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업무를 혁신하는 생성형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활용 텍스트 분석과 보고서 작성</t>
    </r>
  </si>
  <si>
    <t xml:space="preserve">SQL_KMA_111870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</si>
  <si>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AI </t>
    </r>
    <r>
      <rPr>
        <sz val="10"/>
        <rFont val="WenQuanYi Zen Hei"/>
        <family val="2"/>
      </rPr>
      <t xml:space="preserve">활용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기획안 설득력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기획서 전달력 마스터</t>
    </r>
  </si>
  <si>
    <t xml:space="preserve">SQL_KMA_111311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</si>
  <si>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웹 데이터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논문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뉴스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특허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수집 및 비정형 보고서 작성 실무</t>
    </r>
  </si>
  <si>
    <t xml:space="preserve">SQL_KMA_112095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</si>
  <si>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클릭만으로 배우는 생성형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빅데이터 분석 및 보고서 작성 </t>
    </r>
    <r>
      <rPr>
        <sz val="10"/>
        <rFont val="Arial"/>
        <family val="0"/>
        <charset val="1"/>
      </rPr>
      <t xml:space="preserve">(with </t>
    </r>
    <r>
      <rPr>
        <sz val="10"/>
        <rFont val="WenQuanYi Zen Hei"/>
        <family val="2"/>
      </rPr>
      <t xml:space="preserve">크롬확장프로그램</t>
    </r>
    <r>
      <rPr>
        <sz val="10"/>
        <rFont val="Arial"/>
        <family val="0"/>
        <charset val="1"/>
      </rPr>
      <t xml:space="preserve">)</t>
    </r>
  </si>
  <si>
    <t xml:space="preserve">SQL_KMA_112093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</si>
  <si>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웹 데이터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논문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뉴스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특허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수집 및 보고서 작성 </t>
    </r>
    <r>
      <rPr>
        <sz val="10"/>
        <rFont val="Arial"/>
        <family val="0"/>
        <charset val="1"/>
      </rPr>
      <t xml:space="preserve">(with </t>
    </r>
    <r>
      <rPr>
        <sz val="10"/>
        <rFont val="WenQuanYi Zen Hei"/>
        <family val="2"/>
      </rPr>
      <t xml:space="preserve">크롬확장프로그램</t>
    </r>
    <r>
      <rPr>
        <sz val="10"/>
        <rFont val="Arial"/>
        <family val="0"/>
        <charset val="1"/>
      </rPr>
      <t xml:space="preserve">)</t>
    </r>
  </si>
  <si>
    <t xml:space="preserve">SQL_KMA_111553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</si>
  <si>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공공기관 실무자를 위한 보고서 작성 실무</t>
    </r>
  </si>
  <si>
    <t xml:space="preserve">SQL_KMA_111290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</si>
  <si>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AI</t>
    </r>
    <r>
      <rPr>
        <sz val="10"/>
        <rFont val="WenQuanYi Zen Hei"/>
        <family val="2"/>
      </rPr>
      <t xml:space="preserve">기반 금융 데이터 분석 및 보고서 작성 자동화</t>
    </r>
  </si>
  <si>
    <t xml:space="preserve">SQL_KMA_111186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</si>
  <si>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HRD </t>
    </r>
    <r>
      <rPr>
        <sz val="10"/>
        <rFont val="WenQuanYi Zen Hei"/>
        <family val="2"/>
      </rPr>
      <t xml:space="preserve">전략과 교육체계 수립</t>
    </r>
  </si>
  <si>
    <t xml:space="preserve">SQL_KMA_111662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</si>
  <si>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HRD </t>
    </r>
    <r>
      <rPr>
        <sz val="10"/>
        <rFont val="WenQuanYi Zen Hei"/>
        <family val="2"/>
      </rPr>
      <t xml:space="preserve">성과평가 실무</t>
    </r>
  </si>
  <si>
    <r>
      <rPr>
        <sz val="10"/>
        <rFont val="WenQuanYi Zen Hei"/>
        <family val="2"/>
      </rPr>
      <t xml:space="preserve">성과평가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목표관리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인재육성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사내교육</t>
    </r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</si>
  <si>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성과평가</t>
    </r>
  </si>
  <si>
    <t xml:space="preserve">SQL_KMA_111450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</si>
  <si>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안정적인 노사관계를 위한 노동법 및 노사협의회 운영 실무</t>
    </r>
  </si>
  <si>
    <r>
      <rPr>
        <sz val="10"/>
        <rFont val="WenQuanYi Zen Hei"/>
        <family val="2"/>
      </rPr>
      <t xml:space="preserve">노동법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노사</t>
    </r>
  </si>
  <si>
    <t xml:space="preserve">SQL_KMA_111439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</si>
  <si>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인사담당자가 꼭 알아야 할 면접스킬</t>
    </r>
  </si>
  <si>
    <t xml:space="preserve">SQL_KMA_111438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</si>
  <si>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채용 법률과 트렌드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실무자 필수 가이드</t>
    </r>
  </si>
  <si>
    <t xml:space="preserve">SQL_KMA_111440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</si>
  <si>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채용면접위원 양성</t>
    </r>
  </si>
  <si>
    <r>
      <rPr>
        <sz val="10"/>
        <rFont val="WenQuanYi Zen Hei"/>
        <family val="2"/>
      </rPr>
      <t xml:space="preserve">면접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채용</t>
    </r>
  </si>
  <si>
    <t xml:space="preserve">SQL_KMA_111205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</si>
  <si>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강남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성과 향상을 위한 인사평가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성과평가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다면평가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면담 </t>
    </r>
    <r>
      <rPr>
        <sz val="10"/>
        <rFont val="Arial"/>
        <family val="0"/>
        <charset val="1"/>
      </rPr>
      <t xml:space="preserve">Skill</t>
    </r>
  </si>
  <si>
    <r>
      <rPr>
        <sz val="10"/>
        <rFont val="WenQuanYi Zen Hei"/>
        <family val="2"/>
      </rPr>
      <t xml:space="preserve">성과평가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인사평가</t>
    </r>
  </si>
  <si>
    <t xml:space="preserve">SQL_KMA_112331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</si>
  <si>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여의도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안정적인 노사관계를 위한 노동법 및 노사협의회 운영실무</t>
    </r>
  </si>
  <si>
    <t xml:space="preserve">SQL_KMA_112029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</si>
  <si>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온라인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자격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채용면접전문가</t>
    </r>
  </si>
  <si>
    <t xml:space="preserve">SQL_KMA_110300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</si>
  <si>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자격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온라인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채용전문면접관</t>
    </r>
  </si>
  <si>
    <t xml:space="preserve">SQL_KMA_112121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</si>
  <si>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비대면</t>
    </r>
    <r>
      <rPr>
        <sz val="10"/>
        <rFont val="Arial"/>
        <family val="0"/>
        <charset val="1"/>
      </rPr>
      <t xml:space="preserve">] AI </t>
    </r>
    <r>
      <rPr>
        <sz val="10"/>
        <rFont val="WenQuanYi Zen Hei"/>
        <family val="2"/>
      </rPr>
      <t xml:space="preserve">시대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실무에 바로 쓰는 공문서 및 보고서 작성 실무</t>
    </r>
  </si>
  <si>
    <t xml:space="preserve">SQL_KPC_47493</t>
  </si>
  <si>
    <r>
      <rPr>
        <sz val="10"/>
        <rFont val="WenQuanYi Zen Hei"/>
        <family val="2"/>
      </rPr>
      <t xml:space="preserve">공공기관 보고서 작성 </t>
    </r>
    <r>
      <rPr>
        <sz val="10"/>
        <rFont val="Arial"/>
        <family val="0"/>
        <charset val="1"/>
      </rPr>
      <t xml:space="preserve">Total Skill Up(Feat. AI &amp; </t>
    </r>
    <r>
      <rPr>
        <sz val="10"/>
        <rFont val="WenQuanYi Zen Hei"/>
        <family val="2"/>
      </rPr>
      <t xml:space="preserve">한글</t>
    </r>
    <r>
      <rPr>
        <sz val="10"/>
        <rFont val="Arial"/>
        <family val="0"/>
        <charset val="1"/>
      </rPr>
      <t xml:space="preserve">)</t>
    </r>
  </si>
  <si>
    <t xml:space="preserve">한국생산성본부</t>
  </si>
  <si>
    <r>
      <rPr>
        <sz val="10"/>
        <rFont val="WenQuanYi Zen Hei"/>
        <family val="2"/>
      </rPr>
      <t xml:space="preserve">한국생산성본부</t>
    </r>
    <r>
      <rPr>
        <sz val="10"/>
        <rFont val="Arial"/>
        <family val="0"/>
        <charset val="1"/>
      </rPr>
      <t xml:space="preserve">(KPC)</t>
    </r>
  </si>
  <si>
    <t xml:space="preserve">SQL_KPC_46981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</si>
  <si>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인사관리기본</t>
    </r>
  </si>
  <si>
    <t xml:space="preserve">SQL_KPC_47024</t>
  </si>
  <si>
    <r>
      <rPr>
        <sz val="10"/>
        <rFont val="WenQuanYi Zen Hei"/>
        <family val="2"/>
      </rPr>
      <t xml:space="preserve">고충처리 실무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성희롱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괴롭힘</t>
    </r>
    <r>
      <rPr>
        <sz val="10"/>
        <rFont val="Arial"/>
        <family val="0"/>
        <charset val="1"/>
      </rPr>
      <t xml:space="preserve">) (feat. </t>
    </r>
    <r>
      <rPr>
        <sz val="10"/>
        <rFont val="WenQuanYi Zen Hei"/>
        <family val="2"/>
      </rPr>
      <t xml:space="preserve">조사보고서 작성까지</t>
    </r>
    <r>
      <rPr>
        <sz val="10"/>
        <rFont val="Arial"/>
        <family val="0"/>
        <charset val="1"/>
      </rPr>
      <t xml:space="preserve">)</t>
    </r>
  </si>
  <si>
    <t xml:space="preserve">SQL_KPC_46984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</si>
  <si>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인사담당자를 위한 노동법 완전정복</t>
    </r>
  </si>
  <si>
    <t xml:space="preserve">SQL_KPC_47312</t>
  </si>
  <si>
    <r>
      <rPr>
        <sz val="10"/>
        <rFont val="Arial"/>
        <family val="0"/>
        <charset val="1"/>
      </rPr>
      <t xml:space="preserve">[HRD] </t>
    </r>
    <r>
      <rPr>
        <sz val="10"/>
        <rFont val="WenQuanYi Zen Hei"/>
        <family val="2"/>
      </rPr>
      <t xml:space="preserve">역량기반 교육체계 및 인재육성 로드맵 구축</t>
    </r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</si>
  <si>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인재육성</t>
    </r>
  </si>
  <si>
    <t xml:space="preserve">SQL_KPC_48201</t>
  </si>
  <si>
    <r>
      <rPr>
        <sz val="10"/>
        <rFont val="Arial"/>
        <family val="0"/>
        <charset val="1"/>
      </rPr>
      <t xml:space="preserve">[AI] </t>
    </r>
    <r>
      <rPr>
        <sz val="10"/>
        <rFont val="WenQuanYi Zen Hei"/>
        <family val="2"/>
      </rPr>
      <t xml:space="preserve">관리자를 위한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활용 성과관리 역량향상</t>
    </r>
  </si>
  <si>
    <t xml:space="preserve">SQL_KPC_47021</t>
  </si>
  <si>
    <r>
      <rPr>
        <sz val="10"/>
        <rFont val="Arial"/>
        <family val="0"/>
        <charset val="1"/>
      </rPr>
      <t xml:space="preserve">[DX&amp;AI] </t>
    </r>
    <r>
      <rPr>
        <sz val="10"/>
        <rFont val="WenQuanYi Zen Hei"/>
        <family val="2"/>
      </rPr>
      <t xml:space="preserve">채용 분석 실무</t>
    </r>
  </si>
  <si>
    <t xml:space="preserve">SQL_KPC_47484</t>
  </si>
  <si>
    <r>
      <rPr>
        <sz val="10"/>
        <rFont val="Arial"/>
        <family val="0"/>
        <charset val="1"/>
      </rPr>
      <t xml:space="preserve">1Page </t>
    </r>
    <r>
      <rPr>
        <sz val="10"/>
        <rFont val="WenQuanYi Zen Hei"/>
        <family val="2"/>
      </rPr>
      <t xml:space="preserve">보고서 작성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실무</t>
    </r>
    <r>
      <rPr>
        <sz val="10"/>
        <rFont val="Arial"/>
        <family val="0"/>
        <charset val="1"/>
      </rPr>
      <t xml:space="preserve">)</t>
    </r>
  </si>
  <si>
    <t xml:space="preserve">SQL_KPC_48450</t>
  </si>
  <si>
    <r>
      <rPr>
        <sz val="10"/>
        <rFont val="WenQuanYi Zen Hei"/>
        <family val="2"/>
      </rPr>
      <t xml:space="preserve">두산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인사 전문가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성과중심 인사평가</t>
    </r>
  </si>
  <si>
    <t xml:space="preserve">인사평가</t>
  </si>
  <si>
    <t xml:space="preserve">SQL_KPC_46996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</si>
  <si>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근로기준법실무</t>
    </r>
  </si>
  <si>
    <t xml:space="preserve">SQL_KPC_47489</t>
  </si>
  <si>
    <t xml:space="preserve">비즈니스문서작성실무</t>
  </si>
  <si>
    <t xml:space="preserve">SQL_KPC_47464</t>
  </si>
  <si>
    <t xml:space="preserve">글로벌 비즈니스 매너</t>
  </si>
  <si>
    <t xml:space="preserve">SQL_KPC_47303</t>
  </si>
  <si>
    <r>
      <rPr>
        <sz val="10"/>
        <rFont val="Arial"/>
        <family val="0"/>
        <charset val="1"/>
      </rPr>
      <t xml:space="preserve">[HRD] [</t>
    </r>
    <r>
      <rPr>
        <sz val="10"/>
        <rFont val="WenQuanYi Zen Hei"/>
        <family val="2"/>
      </rPr>
      <t xml:space="preserve">사례중심</t>
    </r>
    <r>
      <rPr>
        <sz val="10"/>
        <rFont val="Arial"/>
        <family val="0"/>
        <charset val="1"/>
      </rPr>
      <t xml:space="preserve">] HRD</t>
    </r>
    <r>
      <rPr>
        <sz val="10"/>
        <rFont val="WenQuanYi Zen Hei"/>
        <family val="2"/>
      </rPr>
      <t xml:space="preserve">실무역량 강화</t>
    </r>
  </si>
  <si>
    <t xml:space="preserve">SQL_KPC_47123</t>
  </si>
  <si>
    <r>
      <rPr>
        <sz val="10"/>
        <rFont val="Arial"/>
        <family val="0"/>
        <charset val="1"/>
      </rPr>
      <t xml:space="preserve">[AI </t>
    </r>
    <r>
      <rPr>
        <sz val="10"/>
        <rFont val="WenQuanYi Zen Hei"/>
        <family val="2"/>
      </rPr>
      <t xml:space="preserve">직무혁신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부실기업의 재무적 특징과 보고서 작성실무</t>
    </r>
  </si>
  <si>
    <t xml:space="preserve">SQL_KPC_47257</t>
  </si>
  <si>
    <r>
      <rPr>
        <sz val="10"/>
        <rFont val="Arial"/>
        <family val="0"/>
        <charset val="1"/>
      </rPr>
      <t xml:space="preserve">[1Day] </t>
    </r>
    <r>
      <rPr>
        <sz val="10"/>
        <rFont val="WenQuanYi Zen Hei"/>
        <family val="2"/>
      </rPr>
      <t xml:space="preserve">인사담당자를 위한 계약서 완전정복</t>
    </r>
  </si>
  <si>
    <t xml:space="preserve">SQL_KPC_48405</t>
  </si>
  <si>
    <r>
      <rPr>
        <sz val="10"/>
        <rFont val="Arial"/>
        <family val="0"/>
        <charset val="1"/>
      </rPr>
      <t xml:space="preserve">[AI] [HRD] </t>
    </r>
    <r>
      <rPr>
        <sz val="10"/>
        <rFont val="WenQuanYi Zen Hei"/>
        <family val="2"/>
      </rPr>
      <t xml:space="preserve">교육담당자를 위한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프롬프트 엔지니어링</t>
    </r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</si>
  <si>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교육담당</t>
    </r>
  </si>
  <si>
    <t xml:space="preserve">SQL_KPC_46676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</si>
  <si>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기획담당자를 위한 전략기획서 작성실무</t>
    </r>
  </si>
  <si>
    <t xml:space="preserve">SQL_KPC_47017</t>
  </si>
  <si>
    <t xml:space="preserve">노동위원회 사례로 배우는 노무관리실무</t>
  </si>
  <si>
    <t xml:space="preserve">노무</t>
  </si>
  <si>
    <t xml:space="preserve">SQL_KPC_46681</t>
  </si>
  <si>
    <r>
      <rPr>
        <sz val="10"/>
        <rFont val="Arial"/>
        <family val="0"/>
        <charset val="1"/>
      </rPr>
      <t xml:space="preserve">[AI WORKS] ChatGPT </t>
    </r>
    <r>
      <rPr>
        <sz val="10"/>
        <rFont val="WenQuanYi Zen Hei"/>
        <family val="2"/>
      </rPr>
      <t xml:space="preserve">활용 전략기획서 작성 실무</t>
    </r>
  </si>
  <si>
    <t xml:space="preserve">SQL_KPC_47011</t>
  </si>
  <si>
    <t xml:space="preserve">우수인재 선발을 위한 면접관 역량개발</t>
  </si>
  <si>
    <r>
      <rPr>
        <sz val="10"/>
        <rFont val="WenQuanYi Zen Hei"/>
        <family val="2"/>
      </rPr>
      <t xml:space="preserve">면접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선발</t>
    </r>
  </si>
  <si>
    <t xml:space="preserve">SQL_KPC_49013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</si>
  <si>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하루완성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설득력 있는 보고서 작성 핵심 스킬</t>
    </r>
  </si>
  <si>
    <t xml:space="preserve">SQL_KPC_49312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</si>
  <si>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KPC HRD </t>
    </r>
    <r>
      <rPr>
        <sz val="10"/>
        <rFont val="WenQuanYi Zen Hei"/>
        <family val="2"/>
      </rPr>
      <t xml:space="preserve">트렌드 세미나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</si>
  <si>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t xml:space="preserve">SQL_KPC_47005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</si>
  <si>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하루에 배우는 최신노무관리 </t>
    </r>
    <r>
      <rPr>
        <sz val="10"/>
        <rFont val="Arial"/>
        <family val="0"/>
        <charset val="1"/>
      </rPr>
      <t xml:space="preserve">Essence</t>
    </r>
  </si>
  <si>
    <t xml:space="preserve">SQL_KPC_47302</t>
  </si>
  <si>
    <r>
      <rPr>
        <sz val="10"/>
        <rFont val="Arial"/>
        <family val="0"/>
        <charset val="1"/>
      </rPr>
      <t xml:space="preserve">[HRD] [Advanced] HRD</t>
    </r>
    <r>
      <rPr>
        <sz val="10"/>
        <rFont val="WenQuanYi Zen Hei"/>
        <family val="2"/>
      </rPr>
      <t xml:space="preserve">전문가 양성과정</t>
    </r>
  </si>
  <si>
    <t xml:space="preserve">SQL_KPC_47306</t>
  </si>
  <si>
    <r>
      <rPr>
        <sz val="10"/>
        <rFont val="Arial"/>
        <family val="0"/>
        <charset val="1"/>
      </rPr>
      <t xml:space="preserve">[HRD] </t>
    </r>
    <r>
      <rPr>
        <sz val="10"/>
        <rFont val="WenQuanYi Zen Hei"/>
        <family val="2"/>
      </rPr>
      <t xml:space="preserve">교육기획 및 운영실무</t>
    </r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</si>
  <si>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교육기획</t>
    </r>
  </si>
  <si>
    <t xml:space="preserve">SQL_KPC_46982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</si>
  <si>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인사관리종합</t>
    </r>
  </si>
  <si>
    <t xml:space="preserve">SQL_KPC_48871</t>
  </si>
  <si>
    <r>
      <rPr>
        <sz val="10"/>
        <rFont val="Arial"/>
        <family val="0"/>
        <charset val="1"/>
      </rPr>
      <t xml:space="preserve">[1Day] </t>
    </r>
    <r>
      <rPr>
        <sz val="10"/>
        <rFont val="WenQuanYi Zen Hei"/>
        <family val="2"/>
      </rPr>
      <t xml:space="preserve">인사평가 트랜드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절대평가와 </t>
    </r>
    <r>
      <rPr>
        <sz val="10"/>
        <rFont val="Arial"/>
        <family val="0"/>
        <charset val="1"/>
      </rPr>
      <t xml:space="preserve">Calibration Meeting</t>
    </r>
  </si>
  <si>
    <t xml:space="preserve">SQL_KPC_47001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</si>
  <si>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근로기준법 기본해설</t>
    </r>
  </si>
  <si>
    <t xml:space="preserve">SQL_KPC_47841</t>
  </si>
  <si>
    <r>
      <rPr>
        <sz val="10"/>
        <rFont val="Arial"/>
        <family val="0"/>
        <charset val="1"/>
      </rPr>
      <t xml:space="preserve">(ChatGPT </t>
    </r>
    <r>
      <rPr>
        <sz val="10"/>
        <rFont val="WenQuanYi Zen Hei"/>
        <family val="2"/>
      </rPr>
      <t xml:space="preserve">활용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마케팅 보고서 작성 실무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보고서</t>
    </r>
    <r>
      <rPr>
        <sz val="10"/>
        <rFont val="Arial"/>
        <family val="0"/>
        <charset val="1"/>
      </rPr>
      <t xml:space="preserve">, PPT </t>
    </r>
    <r>
      <rPr>
        <sz val="10"/>
        <rFont val="WenQuanYi Zen Hei"/>
        <family val="2"/>
      </rPr>
      <t xml:space="preserve">작성까지</t>
    </r>
    <r>
      <rPr>
        <sz val="10"/>
        <rFont val="Arial"/>
        <family val="0"/>
        <charset val="1"/>
      </rPr>
      <t xml:space="preserve">)(</t>
    </r>
    <r>
      <rPr>
        <sz val="10"/>
        <rFont val="WenQuanYi Zen Hei"/>
        <family val="2"/>
      </rPr>
      <t xml:space="preserve">지역</t>
    </r>
    <r>
      <rPr>
        <sz val="10"/>
        <rFont val="Arial"/>
        <family val="0"/>
        <charset val="1"/>
      </rPr>
      <t xml:space="preserve">)</t>
    </r>
  </si>
  <si>
    <t xml:space="preserve">SQL_KPC_47301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</si>
  <si>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온보딩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슬기로운 조직생활</t>
    </r>
  </si>
  <si>
    <t xml:space="preserve">SQL_KPC_46979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</si>
  <si>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HR·GA </t>
    </r>
    <r>
      <rPr>
        <sz val="10"/>
        <rFont val="WenQuanYi Zen Hei"/>
        <family val="2"/>
      </rPr>
      <t xml:space="preserve">온보딩 패키지</t>
    </r>
  </si>
  <si>
    <t xml:space="preserve">SQL_KPC_46980</t>
  </si>
  <si>
    <t xml:space="preserve">성과관리실무</t>
  </si>
  <si>
    <t xml:space="preserve">SQL_KPC_47362</t>
  </si>
  <si>
    <r>
      <rPr>
        <sz val="10"/>
        <rFont val="Arial"/>
        <family val="0"/>
        <charset val="1"/>
      </rPr>
      <t xml:space="preserve">1page </t>
    </r>
    <r>
      <rPr>
        <sz val="10"/>
        <rFont val="WenQuanYi Zen Hei"/>
        <family val="2"/>
      </rPr>
      <t xml:space="preserve">연구보고서 작성 노하우</t>
    </r>
  </si>
  <si>
    <t xml:space="preserve">SQL_KPC_46976</t>
  </si>
  <si>
    <t xml:space="preserve">인사평가시스템 구축실무</t>
  </si>
  <si>
    <t xml:space="preserve">SQL_KPC_46714</t>
  </si>
  <si>
    <r>
      <rPr>
        <sz val="10"/>
        <rFont val="Arial"/>
        <family val="0"/>
        <charset val="1"/>
      </rPr>
      <t xml:space="preserve">[AI WORKS] AI </t>
    </r>
    <r>
      <rPr>
        <sz val="10"/>
        <rFont val="WenQuanYi Zen Hei"/>
        <family val="2"/>
      </rPr>
      <t xml:space="preserve">활용 </t>
    </r>
    <r>
      <rPr>
        <sz val="10"/>
        <rFont val="Arial"/>
        <family val="0"/>
        <charset val="1"/>
      </rPr>
      <t xml:space="preserve">ESG </t>
    </r>
    <r>
      <rPr>
        <sz val="10"/>
        <rFont val="WenQuanYi Zen Hei"/>
        <family val="2"/>
      </rPr>
      <t xml:space="preserve">보고서 작성 효율화</t>
    </r>
  </si>
  <si>
    <t xml:space="preserve">SQL_KPC_47487</t>
  </si>
  <si>
    <t xml:space="preserve">엑셀을 활용한 보고서 작성</t>
  </si>
  <si>
    <t xml:space="preserve">SQL_KPC_47354</t>
  </si>
  <si>
    <r>
      <rPr>
        <sz val="10"/>
        <rFont val="WenQuanYi Zen Hei"/>
        <family val="2"/>
      </rPr>
      <t xml:space="preserve">연구데이터 분석 및 보고서 작성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데이터로 말하기</t>
    </r>
    <r>
      <rPr>
        <sz val="10"/>
        <rFont val="Arial"/>
        <family val="0"/>
        <charset val="1"/>
      </rPr>
      <t xml:space="preserve">)</t>
    </r>
  </si>
  <si>
    <t xml:space="preserve">SQL_KPC_47022</t>
  </si>
  <si>
    <r>
      <rPr>
        <sz val="10"/>
        <rFont val="Arial"/>
        <family val="0"/>
        <charset val="1"/>
      </rPr>
      <t xml:space="preserve">[DX&amp;AI] </t>
    </r>
    <r>
      <rPr>
        <sz val="10"/>
        <rFont val="WenQuanYi Zen Hei"/>
        <family val="2"/>
      </rPr>
      <t xml:space="preserve">평가보상 설계 실무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밀코비치 기반</t>
    </r>
    <r>
      <rPr>
        <sz val="10"/>
        <rFont val="Arial"/>
        <family val="0"/>
        <charset val="1"/>
      </rPr>
      <t xml:space="preserve">)</t>
    </r>
  </si>
  <si>
    <t xml:space="preserve">보상</t>
  </si>
  <si>
    <t xml:space="preserve">SQL_KPC_47648</t>
  </si>
  <si>
    <r>
      <rPr>
        <sz val="10"/>
        <rFont val="WenQuanYi Zen Hei"/>
        <family val="2"/>
      </rPr>
      <t xml:space="preserve">영업이익분석 및 성과관리 실무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생성형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활용</t>
    </r>
    <r>
      <rPr>
        <sz val="10"/>
        <rFont val="Arial"/>
        <family val="0"/>
        <charset val="1"/>
      </rPr>
      <t xml:space="preserve">)</t>
    </r>
  </si>
  <si>
    <t xml:space="preserve">SQL_KPC_46645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</si>
  <si>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공공기관 경영평가 보고서 작성실무</t>
    </r>
  </si>
  <si>
    <t xml:space="preserve">SQL_KPC_47307</t>
  </si>
  <si>
    <r>
      <rPr>
        <sz val="10"/>
        <rFont val="Arial"/>
        <family val="0"/>
        <charset val="1"/>
      </rPr>
      <t xml:space="preserve">[HRD] HRD</t>
    </r>
    <r>
      <rPr>
        <sz val="10"/>
        <rFont val="WenQuanYi Zen Hei"/>
        <family val="2"/>
      </rPr>
      <t xml:space="preserve">담당자 기본</t>
    </r>
  </si>
  <si>
    <t xml:space="preserve">SQL_KPC_46995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</si>
  <si>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채용에서 퇴직까지 법률문제</t>
    </r>
  </si>
  <si>
    <t xml:space="preserve">SQL_KPC_47304</t>
  </si>
  <si>
    <r>
      <rPr>
        <sz val="10"/>
        <rFont val="Arial"/>
        <family val="0"/>
        <charset val="1"/>
      </rPr>
      <t xml:space="preserve">[HRD] </t>
    </r>
    <r>
      <rPr>
        <sz val="10"/>
        <rFont val="WenQuanYi Zen Hei"/>
        <family val="2"/>
      </rPr>
      <t xml:space="preserve">교육평가 및 결과보고서 작성실무</t>
    </r>
  </si>
  <si>
    <t xml:space="preserve">SQL_KPC_46698</t>
  </si>
  <si>
    <r>
      <rPr>
        <sz val="10"/>
        <rFont val="Arial"/>
        <family val="0"/>
        <charset val="1"/>
      </rPr>
      <t xml:space="preserve">ESG, </t>
    </r>
    <r>
      <rPr>
        <sz val="10"/>
        <rFont val="WenQuanYi Zen Hei"/>
        <family val="2"/>
      </rPr>
      <t xml:space="preserve">지속가능경영보고서 작성실무</t>
    </r>
  </si>
  <si>
    <t xml:space="preserve">SQL_KPC_47366</t>
  </si>
  <si>
    <r>
      <rPr>
        <sz val="10"/>
        <rFont val="Arial"/>
        <family val="0"/>
        <charset val="1"/>
      </rPr>
      <t xml:space="preserve">ChatGPT</t>
    </r>
    <r>
      <rPr>
        <sz val="10"/>
        <rFont val="WenQuanYi Zen Hei"/>
        <family val="2"/>
      </rPr>
      <t xml:space="preserve">로 배우는 </t>
    </r>
    <r>
      <rPr>
        <sz val="10"/>
        <rFont val="Arial"/>
        <family val="0"/>
        <charset val="1"/>
      </rPr>
      <t xml:space="preserve">R&amp;D </t>
    </r>
    <r>
      <rPr>
        <sz val="10"/>
        <rFont val="WenQuanYi Zen Hei"/>
        <family val="2"/>
      </rPr>
      <t xml:space="preserve">기획서 작성 실무</t>
    </r>
  </si>
  <si>
    <t xml:space="preserve">SQL_KPC_47305</t>
  </si>
  <si>
    <r>
      <rPr>
        <sz val="10"/>
        <rFont val="Arial"/>
        <family val="0"/>
        <charset val="1"/>
      </rPr>
      <t xml:space="preserve">[HRD] </t>
    </r>
    <r>
      <rPr>
        <sz val="10"/>
        <rFont val="WenQuanYi Zen Hei"/>
        <family val="2"/>
      </rPr>
      <t xml:space="preserve">직무분석을 활용한 교육프로그램 개발</t>
    </r>
  </si>
  <si>
    <r>
      <rPr>
        <sz val="10"/>
        <rFont val="WenQuanYi Zen Hei"/>
        <family val="2"/>
      </rPr>
      <t xml:space="preserve">조직설계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직무분석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인재육성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사내교육</t>
    </r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</si>
  <si>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직무분석</t>
    </r>
  </si>
  <si>
    <t xml:space="preserve">SQL_KPC_47003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</si>
  <si>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현장에서 알아야 하는 노무관리 솔루션</t>
    </r>
  </si>
  <si>
    <t xml:space="preserve">SQL_KPC_47009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</si>
  <si>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노동법 핵심해설</t>
    </r>
  </si>
  <si>
    <t xml:space="preserve">SQL_KPC_46993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</si>
  <si>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인력계획부터 육성까지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인사기획실무</t>
    </r>
  </si>
  <si>
    <r>
      <rPr>
        <sz val="10"/>
        <rFont val="WenQuanYi Zen Hei"/>
        <family val="2"/>
      </rPr>
      <t xml:space="preserve">인사전략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인력기획</t>
    </r>
  </si>
  <si>
    <r>
      <rPr>
        <sz val="10"/>
        <rFont val="WenQuanYi Zen Hei"/>
        <family val="2"/>
      </rPr>
      <t xml:space="preserve">인력계획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인사기획</t>
    </r>
  </si>
  <si>
    <t xml:space="preserve">SQL_KPC_47210</t>
  </si>
  <si>
    <t xml:space="preserve">구성원을 성장시키는 성과관리 리더십</t>
  </si>
  <si>
    <t xml:space="preserve">SQL_KPC_47016</t>
  </si>
  <si>
    <r>
      <rPr>
        <sz val="10"/>
        <rFont val="WenQuanYi Zen Hei"/>
        <family val="2"/>
      </rPr>
      <t xml:space="preserve">노동법 쟁점 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선 해설</t>
    </r>
  </si>
  <si>
    <t xml:space="preserve">SQL_KPC_46998</t>
  </si>
  <si>
    <r>
      <rPr>
        <sz val="10"/>
        <rFont val="Arial"/>
        <family val="0"/>
        <charset val="1"/>
      </rPr>
      <t xml:space="preserve">Case Story</t>
    </r>
    <r>
      <rPr>
        <sz val="10"/>
        <rFont val="WenQuanYi Zen Hei"/>
        <family val="2"/>
      </rPr>
      <t xml:space="preserve">와 함께하는 노무관리</t>
    </r>
  </si>
  <si>
    <t xml:space="preserve">SQL_KPC_48063</t>
  </si>
  <si>
    <r>
      <rPr>
        <sz val="10"/>
        <rFont val="Arial"/>
        <family val="0"/>
        <charset val="1"/>
      </rPr>
      <t xml:space="preserve">[HRD] [</t>
    </r>
    <r>
      <rPr>
        <sz val="10"/>
        <rFont val="WenQuanYi Zen Hei"/>
        <family val="2"/>
      </rPr>
      <t xml:space="preserve">사례중심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신규 </t>
    </r>
    <r>
      <rPr>
        <sz val="10"/>
        <rFont val="Arial"/>
        <family val="0"/>
        <charset val="1"/>
      </rPr>
      <t xml:space="preserve">HRD</t>
    </r>
    <r>
      <rPr>
        <sz val="10"/>
        <rFont val="WenQuanYi Zen Hei"/>
        <family val="2"/>
      </rPr>
      <t xml:space="preserve">담당자를 위한 </t>
    </r>
    <r>
      <rPr>
        <sz val="10"/>
        <rFont val="Arial"/>
        <family val="0"/>
        <charset val="1"/>
      </rPr>
      <t xml:space="preserve">1DAY </t>
    </r>
    <r>
      <rPr>
        <sz val="10"/>
        <rFont val="WenQuanYi Zen Hei"/>
        <family val="2"/>
      </rPr>
      <t xml:space="preserve">핵심 스킬업</t>
    </r>
  </si>
  <si>
    <t xml:space="preserve">SQL_KPC_47322</t>
  </si>
  <si>
    <r>
      <rPr>
        <sz val="10"/>
        <rFont val="Arial"/>
        <family val="0"/>
        <charset val="1"/>
      </rPr>
      <t xml:space="preserve">[AI] [HRD] </t>
    </r>
    <r>
      <rPr>
        <sz val="10"/>
        <rFont val="WenQuanYi Zen Hei"/>
        <family val="2"/>
      </rPr>
      <t xml:space="preserve">디지털트렌스포메이션 </t>
    </r>
    <r>
      <rPr>
        <sz val="10"/>
        <rFont val="Arial"/>
        <family val="0"/>
        <charset val="1"/>
      </rPr>
      <t xml:space="preserve">In HRD(Feat.AI)</t>
    </r>
  </si>
  <si>
    <t xml:space="preserve">SQL_KPC_48106</t>
  </si>
  <si>
    <r>
      <rPr>
        <sz val="10"/>
        <rFont val="Arial"/>
        <family val="0"/>
        <charset val="1"/>
      </rPr>
      <t xml:space="preserve">[HRD] </t>
    </r>
    <r>
      <rPr>
        <sz val="10"/>
        <rFont val="WenQuanYi Zen Hei"/>
        <family val="2"/>
      </rPr>
      <t xml:space="preserve">조직 성장을 이끄는 </t>
    </r>
    <r>
      <rPr>
        <sz val="10"/>
        <rFont val="Arial"/>
        <family val="0"/>
        <charset val="1"/>
      </rPr>
      <t xml:space="preserve">HRD</t>
    </r>
    <r>
      <rPr>
        <sz val="10"/>
        <rFont val="WenQuanYi Zen Hei"/>
        <family val="2"/>
      </rPr>
      <t xml:space="preserve">전략과 트렌드 기반 교육계획수립</t>
    </r>
  </si>
  <si>
    <t xml:space="preserve">SQL_KPC_48545</t>
  </si>
  <si>
    <r>
      <rPr>
        <sz val="10"/>
        <rFont val="Arial"/>
        <family val="0"/>
        <charset val="1"/>
      </rPr>
      <t xml:space="preserve">[1Day] </t>
    </r>
    <r>
      <rPr>
        <sz val="10"/>
        <rFont val="WenQuanYi Zen Hei"/>
        <family val="2"/>
      </rPr>
      <t xml:space="preserve">마케팅 보고서 작성 실무</t>
    </r>
    <r>
      <rPr>
        <sz val="10"/>
        <rFont val="Arial"/>
        <family val="0"/>
        <charset val="1"/>
      </rPr>
      <t xml:space="preserve">(ChatGPT </t>
    </r>
    <r>
      <rPr>
        <sz val="10"/>
        <rFont val="WenQuanYi Zen Hei"/>
        <family val="2"/>
      </rPr>
      <t xml:space="preserve">활용</t>
    </r>
    <r>
      <rPr>
        <sz val="10"/>
        <rFont val="Arial"/>
        <family val="0"/>
        <charset val="1"/>
      </rPr>
      <t xml:space="preserve">)</t>
    </r>
  </si>
  <si>
    <t xml:space="preserve">SQL_KPC_48884</t>
  </si>
  <si>
    <r>
      <rPr>
        <sz val="10"/>
        <rFont val="WenQuanYi Zen Hei"/>
        <family val="2"/>
      </rPr>
      <t xml:space="preserve">보고서 작성 </t>
    </r>
    <r>
      <rPr>
        <sz val="10"/>
        <rFont val="Arial"/>
        <family val="0"/>
        <charset val="1"/>
      </rPr>
      <t xml:space="preserve">Total Skill Up(Feat. AI)</t>
    </r>
  </si>
  <si>
    <t xml:space="preserve">SQL_KPC_47006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</si>
  <si>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노무분쟁 예방을 위한 전략적 노무관리</t>
    </r>
  </si>
  <si>
    <t xml:space="preserve">SQL_KPC_46649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</si>
  <si>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온앤오프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공공기관 </t>
    </r>
    <r>
      <rPr>
        <sz val="10"/>
        <rFont val="Arial"/>
        <family val="0"/>
        <charset val="1"/>
      </rPr>
      <t xml:space="preserve">ESG </t>
    </r>
    <r>
      <rPr>
        <sz val="10"/>
        <rFont val="WenQuanYi Zen Hei"/>
        <family val="2"/>
      </rPr>
      <t xml:space="preserve">보고서 작성실무</t>
    </r>
  </si>
  <si>
    <t xml:space="preserve">SQL_KPC_47692</t>
  </si>
  <si>
    <r>
      <rPr>
        <sz val="10"/>
        <rFont val="Arial"/>
        <family val="0"/>
        <charset val="1"/>
      </rPr>
      <t xml:space="preserve">(ChatGPT </t>
    </r>
    <r>
      <rPr>
        <sz val="10"/>
        <rFont val="WenQuanYi Zen Hei"/>
        <family val="2"/>
      </rPr>
      <t xml:space="preserve">활용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마케팅 보고서 작성 실무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보고서</t>
    </r>
    <r>
      <rPr>
        <sz val="10"/>
        <rFont val="Arial"/>
        <family val="0"/>
        <charset val="1"/>
      </rPr>
      <t xml:space="preserve">, PPT </t>
    </r>
    <r>
      <rPr>
        <sz val="10"/>
        <rFont val="WenQuanYi Zen Hei"/>
        <family val="2"/>
      </rPr>
      <t xml:space="preserve">작성까지</t>
    </r>
    <r>
      <rPr>
        <sz val="10"/>
        <rFont val="Arial"/>
        <family val="0"/>
        <charset val="1"/>
      </rPr>
      <t xml:space="preserve">)</t>
    </r>
  </si>
  <si>
    <t xml:space="preserve">SQL_KPC_46991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</si>
  <si>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인사담당자를 위한 채용트렌드 분석 및 전략</t>
    </r>
  </si>
  <si>
    <t xml:space="preserve">SQL_KPC_46702</t>
  </si>
  <si>
    <t xml:space="preserve">기후공시 전략 수립 및 보고서 작성 실무</t>
  </si>
  <si>
    <t xml:space="preserve">SQL_MULTICAMPUS_FA00A0</t>
  </si>
  <si>
    <r>
      <rPr>
        <sz val="10"/>
        <rFont val="Arial"/>
        <family val="0"/>
        <charset val="1"/>
      </rPr>
      <t xml:space="preserve">[Live] </t>
    </r>
    <r>
      <rPr>
        <sz val="10"/>
        <rFont val="WenQuanYi Zen Hei"/>
        <family val="2"/>
      </rPr>
      <t xml:space="preserve">한 장 보고서 작성의 기술</t>
    </r>
  </si>
  <si>
    <t xml:space="preserve">멀티캠퍼스</t>
  </si>
  <si>
    <t xml:space="preserve">SQL_MULTICAMPUS_FA015O</t>
  </si>
  <si>
    <r>
      <rPr>
        <sz val="10"/>
        <rFont val="Arial"/>
        <family val="0"/>
        <charset val="1"/>
      </rPr>
      <t xml:space="preserve">[Ctrl+AI] </t>
    </r>
    <r>
      <rPr>
        <sz val="10"/>
        <rFont val="WenQuanYi Zen Hei"/>
        <family val="2"/>
      </rPr>
      <t xml:space="preserve">생성형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를 활용한 실무 문서작성 </t>
    </r>
    <r>
      <rPr>
        <sz val="10"/>
        <rFont val="Arial"/>
        <family val="0"/>
        <charset val="1"/>
      </rPr>
      <t xml:space="preserve">AtoZ</t>
    </r>
  </si>
  <si>
    <t xml:space="preserve">SQL_MULTICAMPUS_Q29940</t>
  </si>
  <si>
    <t xml:space="preserve">한 장 보고서 작성의 기술</t>
  </si>
  <si>
    <t xml:space="preserve">SQL_MULTICAMPUS_FB00A4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</si>
  <si>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패스트트랙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신입 온보딩 과정</t>
    </r>
  </si>
  <si>
    <t xml:space="preserve">SQL_MULTICAMPUS_FB00A5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</si>
  <si>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패스트트랙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신입 온보딩 과정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관계관리 편</t>
    </r>
  </si>
  <si>
    <t xml:space="preserve">SQL_MULTICAMPUS_FB00A6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</si>
  <si>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패스트트랙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신입 온보딩 과정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업무관리 편</t>
    </r>
  </si>
  <si>
    <t xml:space="preserve">SQL_MULTICAMPUS_EA09X3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</si>
  <si>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리더의 격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조직을 성공으로 이끄는 성과관리 디테일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참고도서제공</t>
    </r>
    <r>
      <rPr>
        <sz val="10"/>
        <rFont val="Arial"/>
        <family val="0"/>
        <charset val="1"/>
      </rPr>
      <t xml:space="preserve">)</t>
    </r>
  </si>
  <si>
    <t xml:space="preserve">SQL_MULTICAMPUS_EA0D0U</t>
  </si>
  <si>
    <r>
      <rPr>
        <sz val="10"/>
        <rFont val="WenQuanYi Zen Hei"/>
        <family val="2"/>
      </rPr>
      <t xml:space="preserve">신뢰받는 중간 관리자의 역량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성과관리 편</t>
    </r>
  </si>
  <si>
    <t xml:space="preserve">SQL_MULTICAMPUS_FA01P1</t>
  </si>
  <si>
    <r>
      <rPr>
        <sz val="10"/>
        <rFont val="WenQuanYi Zen Hei"/>
        <family val="2"/>
      </rPr>
      <t xml:space="preserve">인사관리</t>
    </r>
    <r>
      <rPr>
        <sz val="10"/>
        <rFont val="Arial"/>
        <family val="0"/>
        <charset val="1"/>
      </rPr>
      <t xml:space="preserve">, AI</t>
    </r>
    <r>
      <rPr>
        <sz val="10"/>
        <rFont val="WenQuanYi Zen Hei"/>
        <family val="2"/>
      </rPr>
      <t xml:space="preserve">로 업그레이드</t>
    </r>
  </si>
  <si>
    <t xml:space="preserve">SQL_MULTICAMPUS_FA01U8</t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</si>
  <si>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로 완성하는 한 장 보고서 작성</t>
    </r>
  </si>
  <si>
    <t xml:space="preserve">SQL_MULTICAMPUS_FA01LB</t>
  </si>
  <si>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로 완성하는 리더의 성과관리</t>
    </r>
  </si>
  <si>
    <t xml:space="preserve">교차 배정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</si>
  <si>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배정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</si>
  <si>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① 관련 여부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</si>
  <si>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② 판정</t>
    </r>
  </si>
  <si>
    <t xml:space="preserve">② 판정 일치</t>
  </si>
  <si>
    <t xml:space="preserve">① 관련 여부 일치</t>
  </si>
  <si>
    <r>
      <rPr>
        <b val="true"/>
        <sz val="14"/>
        <rFont val="WenQuanYi Zen Hei"/>
        <family val="2"/>
      </rPr>
      <t xml:space="preserve">검수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자동 계산</t>
    </r>
    <r>
      <rPr>
        <b val="true"/>
        <sz val="14"/>
        <rFont val="Arial"/>
        <family val="0"/>
        <charset val="1"/>
      </rPr>
      <t xml:space="preserve">)</t>
    </r>
  </si>
  <si>
    <t xml:space="preserve">전체 과정 수</t>
  </si>
  <si>
    <t xml:space="preserve">판정 입력 완료</t>
  </si>
  <si>
    <t xml:space="preserve">진행률</t>
  </si>
  <si>
    <t xml:space="preserve">건수</t>
  </si>
  <si>
    <t xml:space="preserve">비율</t>
  </si>
  <si>
    <t xml:space="preserve">맞음</t>
  </si>
  <si>
    <t xml:space="preserve">틀림</t>
  </si>
  <si>
    <t xml:space="preserve">일부 관련</t>
  </si>
  <si>
    <t xml:space="preserve">무관</t>
  </si>
  <si>
    <t xml:space="preserve">분야별</t>
  </si>
  <si>
    <t xml:space="preserve">자동 연결 과정</t>
  </si>
  <si>
    <t xml:space="preserve">검수 완료</t>
  </si>
  <si>
    <t xml:space="preserve">일치율</t>
  </si>
  <si>
    <r>
      <rPr>
        <sz val="10"/>
        <rFont val="WenQuanYi Zen Hei"/>
        <family val="2"/>
      </rPr>
      <t xml:space="preserve">조직설계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직무분석</t>
    </r>
  </si>
  <si>
    <r>
      <rPr>
        <sz val="10"/>
        <rFont val="WenQuanYi Zen Hei"/>
        <family val="2"/>
      </rPr>
      <t xml:space="preserve">조직문화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사내소통</t>
    </r>
  </si>
  <si>
    <r>
      <rPr>
        <i val="true"/>
        <sz val="9"/>
        <rFont val="WenQuanYi Zen Hei"/>
        <family val="2"/>
      </rPr>
      <t xml:space="preserve">일치율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검수 완료 중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맞음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비율</t>
    </r>
    <r>
      <rPr>
        <i val="true"/>
        <sz val="9"/>
        <rFont val="Arial"/>
        <family val="0"/>
        <charset val="1"/>
      </rPr>
      <t xml:space="preserve">. '(</t>
    </r>
    <r>
      <rPr>
        <i val="true"/>
        <sz val="9"/>
        <rFont val="WenQuanYi Zen Hei"/>
        <family val="2"/>
      </rPr>
      <t xml:space="preserve">없음</t>
    </r>
    <r>
      <rPr>
        <i val="true"/>
        <sz val="9"/>
        <rFont val="Arial"/>
        <family val="0"/>
        <charset val="1"/>
      </rPr>
      <t xml:space="preserve">)'</t>
    </r>
    <r>
      <rPr>
        <i val="true"/>
        <sz val="9"/>
        <rFont val="WenQuanYi Zen Hei"/>
        <family val="2"/>
      </rPr>
      <t xml:space="preserve">의 맞음은 </t>
    </r>
    <r>
      <rPr>
        <i val="true"/>
        <sz val="9"/>
        <rFont val="Arial"/>
        <family val="0"/>
        <charset val="1"/>
      </rPr>
      <t xml:space="preserve">'9</t>
    </r>
    <r>
      <rPr>
        <i val="true"/>
        <sz val="9"/>
        <rFont val="WenQuanYi Zen Hei"/>
        <family val="2"/>
      </rPr>
      <t xml:space="preserve">개 분야 어디에도 안 맞음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이 맞다는 뜻</t>
    </r>
    <r>
      <rPr>
        <i val="true"/>
        <sz val="9"/>
        <rFont val="Arial"/>
        <family val="0"/>
        <charset val="1"/>
      </rPr>
      <t xml:space="preserve">.</t>
    </r>
  </si>
  <si>
    <t xml:space="preserve">팀원별</t>
  </si>
  <si>
    <t xml:space="preserve">완료</t>
  </si>
  <si>
    <t xml:space="preserve">교차 완료</t>
  </si>
  <si>
    <r>
      <rPr>
        <b val="true"/>
        <sz val="10"/>
        <rFont val="WenQuanYi Zen Hei"/>
        <family val="2"/>
      </rPr>
      <t xml:space="preserve">교차검수 </t>
    </r>
    <r>
      <rPr>
        <b val="true"/>
        <sz val="10"/>
        <rFont val="Arial"/>
        <family val="0"/>
        <charset val="1"/>
      </rPr>
      <t xml:space="preserve">(② </t>
    </r>
    <r>
      <rPr>
        <b val="true"/>
        <sz val="10"/>
        <rFont val="WenQuanYi Zen Hei"/>
        <family val="2"/>
      </rPr>
      <t xml:space="preserve">판정 기준</t>
    </r>
    <r>
      <rPr>
        <b val="true"/>
        <sz val="10"/>
        <rFont val="Arial"/>
        <family val="0"/>
        <charset val="1"/>
      </rPr>
      <t xml:space="preserve">)</t>
    </r>
  </si>
  <si>
    <t xml:space="preserve">교차검수 과정 수</t>
  </si>
  <si>
    <t xml:space="preserve">두 사람 모두 판정</t>
  </si>
  <si>
    <t xml:space="preserve">판정 일치</t>
  </si>
  <si>
    <r>
      <rPr>
        <sz val="10"/>
        <rFont val="WenQuanYi Zen Hei"/>
        <family val="2"/>
      </rPr>
      <t xml:space="preserve">우연 일치 기대값</t>
    </r>
    <r>
      <rPr>
        <sz val="10"/>
        <rFont val="Arial"/>
        <family val="0"/>
        <charset val="1"/>
      </rPr>
      <t xml:space="preserve">(pe)</t>
    </r>
  </si>
  <si>
    <r>
      <rPr>
        <sz val="10"/>
        <rFont val="WenQuanYi Zen Hei"/>
        <family val="2"/>
      </rPr>
      <t xml:space="preserve">카파 계수</t>
    </r>
    <r>
      <rPr>
        <sz val="10"/>
        <rFont val="Arial"/>
        <family val="0"/>
        <charset val="1"/>
      </rPr>
      <t xml:space="preserve">(κ)</t>
    </r>
  </si>
  <si>
    <t xml:space="preserve">① 관련 여부 일치율</t>
  </si>
  <si>
    <r>
      <rPr>
        <i val="true"/>
        <sz val="9"/>
        <rFont val="WenQuanYi Zen Hei"/>
        <family val="2"/>
      </rPr>
      <t xml:space="preserve">카파 해석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참고</t>
    </r>
    <r>
      <rPr>
        <i val="true"/>
        <sz val="9"/>
        <rFont val="Arial"/>
        <family val="0"/>
        <charset val="1"/>
      </rPr>
      <t xml:space="preserve">): 0.6 </t>
    </r>
    <r>
      <rPr>
        <i val="true"/>
        <sz val="9"/>
        <rFont val="WenQuanYi Zen Hei"/>
        <family val="2"/>
      </rPr>
      <t xml:space="preserve">이상이면 판정 기준이 대체로 일치</t>
    </r>
    <r>
      <rPr>
        <i val="true"/>
        <sz val="9"/>
        <rFont val="Arial"/>
        <family val="0"/>
        <charset val="1"/>
      </rPr>
      <t xml:space="preserve">, 0.4 </t>
    </r>
    <r>
      <rPr>
        <i val="true"/>
        <sz val="9"/>
        <rFont val="WenQuanYi Zen Hei"/>
        <family val="2"/>
      </rPr>
      <t xml:space="preserve">미만이면 기준을 다시 맞추는 회의가 필요합니다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</si>
  <si>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분야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</si>
  <si>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분야 이름</t>
  </si>
  <si>
    <r>
      <rPr>
        <b val="true"/>
        <sz val="10"/>
        <color rgb="FFFFFFFF"/>
        <rFont val="WenQuanYi Zen Hei"/>
        <family val="2"/>
      </rPr>
      <t xml:space="preserve">연결 키워드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과정명에 포함되면 연결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</si>
  <si>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DOM_01</t>
  </si>
  <si>
    <r>
      <rPr>
        <sz val="10"/>
        <rFont val="WenQuanYi Zen Hei"/>
        <family val="2"/>
      </rPr>
      <t xml:space="preserve">인력계획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인력 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인력운영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인건비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인사기획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인사전략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인력관리</t>
    </r>
  </si>
  <si>
    <t xml:space="preserve">DOM_02</t>
  </si>
  <si>
    <r>
      <rPr>
        <sz val="10"/>
        <rFont val="WenQuanYi Zen Hei"/>
        <family val="2"/>
      </rPr>
      <t xml:space="preserve">직무분석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직무기술서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조직설계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직무관리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직무평가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직무중심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직무급</t>
    </r>
  </si>
  <si>
    <t xml:space="preserve">DOM_03</t>
  </si>
  <si>
    <r>
      <rPr>
        <sz val="10"/>
        <rFont val="WenQuanYi Zen Hei"/>
        <family val="2"/>
      </rPr>
      <t xml:space="preserve">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면접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리크루팅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헤드헌팅</t>
    </r>
  </si>
  <si>
    <t xml:space="preserve">DOM_04</t>
  </si>
  <si>
    <r>
      <rPr>
        <sz val="10"/>
        <rFont val="WenQuanYi Zen Hei"/>
        <family val="2"/>
      </rPr>
      <t xml:space="preserve">온보딩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신입사원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신규입사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리텐션</t>
    </r>
  </si>
  <si>
    <t xml:space="preserve">DOM_05</t>
  </si>
  <si>
    <r>
      <rPr>
        <sz val="10"/>
        <rFont val="WenQuanYi Zen Hei"/>
        <family val="2"/>
      </rPr>
      <t xml:space="preserve">성과관리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성과평가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인사평가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평가제도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평가체계</t>
    </r>
    <r>
      <rPr>
        <sz val="10"/>
        <rFont val="Arial"/>
        <family val="0"/>
        <charset val="1"/>
      </rPr>
      <t xml:space="preserve">, kpi, okr, mbo, </t>
    </r>
    <r>
      <rPr>
        <sz val="10"/>
        <rFont val="WenQuanYi Zen Hei"/>
        <family val="2"/>
      </rPr>
      <t xml:space="preserve">목표관리</t>
    </r>
  </si>
  <si>
    <t xml:space="preserve">DOM_06</t>
  </si>
  <si>
    <r>
      <rPr>
        <sz val="10"/>
        <rFont val="WenQuanYi Zen Hei"/>
        <family val="2"/>
      </rPr>
      <t xml:space="preserve">보상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연봉제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급여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임금</t>
    </r>
    <r>
      <rPr>
        <sz val="10"/>
        <rFont val="Arial"/>
        <family val="0"/>
        <charset val="1"/>
      </rPr>
      <t xml:space="preserve">, 4</t>
    </r>
    <r>
      <rPr>
        <sz val="10"/>
        <rFont val="WenQuanYi Zen Hei"/>
        <family val="2"/>
      </rPr>
      <t xml:space="preserve">대보험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연말정산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원천징수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퇴직금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복리후생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인센티브</t>
    </r>
  </si>
  <si>
    <t xml:space="preserve">DOM_07</t>
  </si>
  <si>
    <r>
      <rPr>
        <sz val="10"/>
        <rFont val="Arial"/>
        <family val="0"/>
        <charset val="1"/>
      </rPr>
      <t xml:space="preserve">hrd, </t>
    </r>
    <r>
      <rPr>
        <sz val="10"/>
        <rFont val="WenQuanYi Zen Hei"/>
        <family val="2"/>
      </rPr>
      <t xml:space="preserve">교육담당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교육과정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사내강사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교수설계</t>
    </r>
    <r>
      <rPr>
        <sz val="10"/>
        <rFont val="Arial"/>
        <family val="0"/>
        <charset val="1"/>
      </rPr>
      <t xml:space="preserve">, addie, </t>
    </r>
    <r>
      <rPr>
        <sz val="10"/>
        <rFont val="WenQuanYi Zen Hei"/>
        <family val="2"/>
      </rPr>
      <t xml:space="preserve">인재육성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교육기획</t>
    </r>
  </si>
  <si>
    <t xml:space="preserve">DOM_08</t>
  </si>
  <si>
    <r>
      <rPr>
        <sz val="10"/>
        <rFont val="WenQuanYi Zen Hei"/>
        <family val="2"/>
      </rPr>
      <t xml:space="preserve">조직문화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조직활성화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조직개발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몰입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핵심가치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팀빌딩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조직진단</t>
    </r>
  </si>
  <si>
    <t xml:space="preserve">DOM_09</t>
  </si>
  <si>
    <r>
      <rPr>
        <sz val="10"/>
        <rFont val="WenQuanYi Zen Hei"/>
        <family val="2"/>
      </rPr>
      <t xml:space="preserve">노무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노동법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근로기준법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취업규칙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징계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노동조합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근로계약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</si>
</sst>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.0%"/>
    <numFmt numFmtId="168" formatCode="0.000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WenQuanYi Zen Hei"/>
      <family val="2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work24.go.kr/hr/a/a/3100/selectTracseDetl.do?tracseId=ACG20243000973001&amp;tracseTme=324&amp;crseTracseSe=C0031&amp;trainstCstmrId=500020034527" TargetMode="External"/><Relationship Id="rId3" Type="http://schemas.openxmlformats.org/officeDocument/2006/relationships/hyperlink" Target="https://www.work24.go.kr/hr/a/a/3100/selectTracseDetl.do?tracseId=ACG20243001004189&amp;tracseTme=245&amp;crseTracseSe=C0031&amp;trainstCstmrId=500020034527" TargetMode="External"/><Relationship Id="rId4" Type="http://schemas.openxmlformats.org/officeDocument/2006/relationships/hyperlink" Target="https://www.work24.go.kr/hr/a/a/3100/selectTracseDetl2.do?tracseId=ABA20243001045717&amp;tracseTme=58&amp;crseTracseSe=C0041&amp;trainstCstmrId=500020034527" TargetMode="External"/><Relationship Id="rId5" Type="http://schemas.openxmlformats.org/officeDocument/2006/relationships/hyperlink" Target="https://www.work24.go.kr/hr/a/a/3100/selectTracseDetl2.do?tracseId=ABA20243001011994&amp;tracseTme=6&amp;crseTracseSe=C0041&amp;trainstCstmrId=500037441563" TargetMode="External"/><Relationship Id="rId6" Type="http://schemas.openxmlformats.org/officeDocument/2006/relationships/hyperlink" Target="https://www.work24.go.kr/hr/a/a/3100/selectTracseDetl2.do?tracseId=ABA20243001012836&amp;tracseTme=203&amp;crseTracseSe=C0041&amp;trainstCstmrId=500020034527" TargetMode="External"/><Relationship Id="rId7" Type="http://schemas.openxmlformats.org/officeDocument/2006/relationships/hyperlink" Target="https://www.work24.go.kr/hr/a/a/3100/selectTracseDetl2.do?tracseId=ABA20243000994834&amp;tracseTme=261&amp;crseTracseSe=C0041&amp;trainstCstmrId=500020034527" TargetMode="External"/><Relationship Id="rId8" Type="http://schemas.openxmlformats.org/officeDocument/2006/relationships/hyperlink" Target="https://www.work24.go.kr/hr/a/a/3100/selectTracseDetl2.do?tracseId=ABA20243001049771&amp;tracseTme=3&amp;crseTracseSe=C0041&amp;trainstCstmrId=500020043313" TargetMode="External"/><Relationship Id="rId9" Type="http://schemas.openxmlformats.org/officeDocument/2006/relationships/hyperlink" Target="https://www.work24.go.kr/hr/a/a/3100/selectTracseDetl2.do?tracseId=ABA20243001011985&amp;tracseTme=5&amp;crseTracseSe=C0041&amp;trainstCstmrId=500037441563" TargetMode="External"/><Relationship Id="rId10" Type="http://schemas.openxmlformats.org/officeDocument/2006/relationships/hyperlink" Target="https://www.work24.go.kr/hr/a/a/3100/selectTracseDetl2.do?tracseId=ABA20243000972962&amp;tracseTme=324&amp;crseTracseSe=C0041&amp;trainstCstmrId=500020034527" TargetMode="External"/><Relationship Id="rId11" Type="http://schemas.openxmlformats.org/officeDocument/2006/relationships/hyperlink" Target="https://www.work24.go.kr/hr/a/a/3100/selectTracseDetl.do?tracseId=ACG20243001038036&amp;tracseTme=84&amp;crseTracseSe=C0031&amp;trainstCstmrId=500020034527" TargetMode="External"/><Relationship Id="rId12" Type="http://schemas.openxmlformats.org/officeDocument/2006/relationships/hyperlink" Target="https://www.work24.go.kr/hr/a/a/3100/selectTracseDetl.do?tracseId=ACG20243001023998&amp;tracseTme=11&amp;crseTracseSe=C0031&amp;trainstCstmrId=500020055230" TargetMode="External"/><Relationship Id="rId13" Type="http://schemas.openxmlformats.org/officeDocument/2006/relationships/hyperlink" Target="https://www.work24.go.kr/hr/a/a/3100/selectTracseDetl.do?tracseId=ACG20243001054796&amp;tracseTme=4&amp;crseTracseSe=C0031&amp;trainstCstmrId=500020015894" TargetMode="External"/><Relationship Id="rId14" Type="http://schemas.openxmlformats.org/officeDocument/2006/relationships/hyperlink" Target="https://www.work24.go.kr/hr/a/a/3100/selectTracseDetl.do?tracseId=ACG20243001052023&amp;tracseTme=28&amp;crseTracseSe=C0031&amp;trainstCstmrId=500020034527" TargetMode="External"/><Relationship Id="rId15" Type="http://schemas.openxmlformats.org/officeDocument/2006/relationships/hyperlink" Target="https://www.work24.go.kr/hr/a/a/3100/selectTracseDetl.do?tracseId=ACG20243001036448&amp;tracseTme=16&amp;crseTracseSe=C0031&amp;trainstCstmrId=500034730103" TargetMode="External"/><Relationship Id="rId16" Type="http://schemas.openxmlformats.org/officeDocument/2006/relationships/hyperlink" Target="https://www.work24.go.kr/hr/a/a/3100/selectTracseDetl.do?tracseId=ACG20243001004851&amp;tracseTme=141&amp;crseTracseSe=C0031&amp;trainstCstmrId=500020050628" TargetMode="External"/><Relationship Id="rId17" Type="http://schemas.openxmlformats.org/officeDocument/2006/relationships/hyperlink" Target="https://www.work24.go.kr/hr/a/a/3100/selectTracseDetl.do?tracseId=AIG20220000383835&amp;tracseTme=15&amp;crseTracseSe=C0061&amp;trainstCstmrId=500020036930" TargetMode="External"/><Relationship Id="rId18" Type="http://schemas.openxmlformats.org/officeDocument/2006/relationships/hyperlink" Target="https://www.work24.go.kr/hr/a/a/3100/selectTracseDetl.do?tracseId=AIG20240000492923&amp;tracseTme=1&amp;crseTracseSe=C0061&amp;trainstCstmrId=500020051961" TargetMode="External"/><Relationship Id="rId19" Type="http://schemas.openxmlformats.org/officeDocument/2006/relationships/hyperlink" Target="https://www.work24.go.kr/hr/a/a/3100/selectTracseDetl.do?tracseId=AIG20240000475110&amp;tracseTme=1&amp;crseTracseSe=C0061&amp;trainstCstmrId=500020051751" TargetMode="External"/><Relationship Id="rId20" Type="http://schemas.openxmlformats.org/officeDocument/2006/relationships/hyperlink" Target="https://www.work24.go.kr/hr/a/a/3100/selectTracseDetl.do?tracseId=AIG20240000472845&amp;tracseTme=1&amp;crseTracseSe=C0061&amp;trainstCstmrId=500020032651" TargetMode="External"/><Relationship Id="rId21" Type="http://schemas.openxmlformats.org/officeDocument/2006/relationships/hyperlink" Target="https://www.work24.go.kr/hr/a/a/3100/selectTracseDetl2.do?tracseId=ABA20243001036526&amp;tracseTme=9&amp;crseTracseSe=C0041&amp;trainstCstmrId=500038971548" TargetMode="External"/><Relationship Id="rId22" Type="http://schemas.openxmlformats.org/officeDocument/2006/relationships/hyperlink" Target="https://fastcampus.co.kr/biz_online_bsk" TargetMode="External"/><Relationship Id="rId23" Type="http://schemas.openxmlformats.org/officeDocument/2006/relationships/hyperlink" Target="https://fastcampus.co.kr/biz_online_bestreport" TargetMode="External"/><Relationship Id="rId24" Type="http://schemas.openxmlformats.org/officeDocument/2006/relationships/hyperlink" Target="https://fastcampus.co.kr/biz_online_kjs" TargetMode="External"/><Relationship Id="rId25" Type="http://schemas.openxmlformats.org/officeDocument/2006/relationships/hyperlink" Target="https://fastcampus.co.kr/dgn_online_dotdot2" TargetMode="External"/><Relationship Id="rId26" Type="http://schemas.openxmlformats.org/officeDocument/2006/relationships/hyperlink" Target="https://fastcampus.co.kr/biz_online_aicolumbus" TargetMode="External"/><Relationship Id="rId27" Type="http://schemas.openxmlformats.org/officeDocument/2006/relationships/hyperlink" Target="https://www.gseek.kr/user/course/online/view?s_sbjct_sn=3217" TargetMode="External"/><Relationship Id="rId28" Type="http://schemas.openxmlformats.org/officeDocument/2006/relationships/hyperlink" Target="https://www.gseek.kr/user/course/online/view?s_sbjct_sn=4378" TargetMode="External"/><Relationship Id="rId29" Type="http://schemas.openxmlformats.org/officeDocument/2006/relationships/hyperlink" Target="https://www.gseek.kr/user/course/online/view?s_sbjct_sn=5045" TargetMode="External"/><Relationship Id="rId30" Type="http://schemas.openxmlformats.org/officeDocument/2006/relationships/hyperlink" Target="https://www.gseek.kr/user/course/online/view?s_sbjct_sn=5793" TargetMode="External"/><Relationship Id="rId31" Type="http://schemas.openxmlformats.org/officeDocument/2006/relationships/hyperlink" Target="https://www.gseek.kr/user/course/online/view?s_sbjct_sn=5794" TargetMode="External"/><Relationship Id="rId32" Type="http://schemas.openxmlformats.org/officeDocument/2006/relationships/hyperlink" Target="https://www.gseek.kr/user/course/online/view?s_sbjct_sn=7414" TargetMode="External"/><Relationship Id="rId33" Type="http://schemas.openxmlformats.org/officeDocument/2006/relationships/hyperlink" Target="https://www.gseek.kr/user/course/online/view?s_sbjct_sn=8297" TargetMode="External"/><Relationship Id="rId34" Type="http://schemas.openxmlformats.org/officeDocument/2006/relationships/hyperlink" Target="https://www.gseek.kr/user/course/online/view?s_sbjct_sn=51667" TargetMode="External"/><Relationship Id="rId35" Type="http://schemas.openxmlformats.org/officeDocument/2006/relationships/hyperlink" Target="https://www.gseek.kr/user/course/online/view?s_sbjct_sn=51955" TargetMode="External"/><Relationship Id="rId36" Type="http://schemas.openxmlformats.org/officeDocument/2006/relationships/hyperlink" Target="https://www.gseek.kr/user/course/online/view?s_sbjct_sn=52754" TargetMode="External"/><Relationship Id="rId37" Type="http://schemas.openxmlformats.org/officeDocument/2006/relationships/hyperlink" Target="https://www.gseek.kr/user/course/online/view?s_sbjct_sn=55196" TargetMode="External"/><Relationship Id="rId38" Type="http://schemas.openxmlformats.org/officeDocument/2006/relationships/hyperlink" Target="https://www.gseek.kr/user/course/online/view?s_sbjct_sn=55218" TargetMode="External"/><Relationship Id="rId39" Type="http://schemas.openxmlformats.org/officeDocument/2006/relationships/hyperlink" Target="https://www.gseek.kr/user/course/online/view?s_sbjct_sn=56932" TargetMode="External"/><Relationship Id="rId40" Type="http://schemas.openxmlformats.org/officeDocument/2006/relationships/hyperlink" Target="https://www.gseek.kr/user/course/online/view?s_sbjct_sn=57049" TargetMode="External"/><Relationship Id="rId41" Type="http://schemas.openxmlformats.org/officeDocument/2006/relationships/hyperlink" Target="https://www.gseek.kr/user/course/online/view?s_sbjct_sn=57110" TargetMode="External"/><Relationship Id="rId42" Type="http://schemas.openxmlformats.org/officeDocument/2006/relationships/hyperlink" Target="https://www.gseek.kr/user/course/online/view?s_sbjct_sn=57944" TargetMode="External"/><Relationship Id="rId43" Type="http://schemas.openxmlformats.org/officeDocument/2006/relationships/hyperlink" Target="https://hbs.hunet.co.kr/Education/Detail?gid=Y00394865" TargetMode="External"/><Relationship Id="rId44" Type="http://schemas.openxmlformats.org/officeDocument/2006/relationships/hyperlink" Target="https://hbs.hunet.co.kr/Education/Detail?gid=Y00391506" TargetMode="External"/><Relationship Id="rId45" Type="http://schemas.openxmlformats.org/officeDocument/2006/relationships/hyperlink" Target="https://hbs.hunet.co.kr/Education/Detail?gid=Y00386285" TargetMode="External"/><Relationship Id="rId46" Type="http://schemas.openxmlformats.org/officeDocument/2006/relationships/hyperlink" Target="https://hbs.hunet.co.kr/Education/Detail?gid=Y00381740" TargetMode="External"/><Relationship Id="rId47" Type="http://schemas.openxmlformats.org/officeDocument/2006/relationships/hyperlink" Target="https://hbs.hunet.co.kr/Education/Detail?gid=Y00381743" TargetMode="External"/><Relationship Id="rId48" Type="http://schemas.openxmlformats.org/officeDocument/2006/relationships/hyperlink" Target="https://hbs.hunet.co.kr/Education/Detail?gid=Y00367788" TargetMode="External"/><Relationship Id="rId49" Type="http://schemas.openxmlformats.org/officeDocument/2006/relationships/hyperlink" Target="https://hbs.hunet.co.kr/Education/Detail?gid=Y00354154" TargetMode="External"/><Relationship Id="rId50" Type="http://schemas.openxmlformats.org/officeDocument/2006/relationships/hyperlink" Target="https://hbs.hunet.co.kr/Education/Detail?gid=Y00337189" TargetMode="External"/><Relationship Id="rId51" Type="http://schemas.openxmlformats.org/officeDocument/2006/relationships/hyperlink" Target="https://hbs.hunet.co.kr/Education/Detail?gid=Y00350958" TargetMode="External"/><Relationship Id="rId52" Type="http://schemas.openxmlformats.org/officeDocument/2006/relationships/hyperlink" Target="https://hbs.hunet.co.kr/Education/Detail?gid=Y00350960" TargetMode="External"/><Relationship Id="rId53" Type="http://schemas.openxmlformats.org/officeDocument/2006/relationships/hyperlink" Target="https://hbs.hunet.co.kr/Education/Detail?gid=Y00347025" TargetMode="External"/><Relationship Id="rId54" Type="http://schemas.openxmlformats.org/officeDocument/2006/relationships/hyperlink" Target="https://hbs.hunet.co.kr/Education/Detail?gid=Y00319690" TargetMode="External"/><Relationship Id="rId55" Type="http://schemas.openxmlformats.org/officeDocument/2006/relationships/hyperlink" Target="https://hbs.hunet.co.kr/Education/Detail?gid=Y00317658" TargetMode="External"/><Relationship Id="rId56" Type="http://schemas.openxmlformats.org/officeDocument/2006/relationships/hyperlink" Target="https://hbs.hunet.co.kr/Education/Detail?gid=Y00317659" TargetMode="External"/><Relationship Id="rId57" Type="http://schemas.openxmlformats.org/officeDocument/2006/relationships/hyperlink" Target="https://hbs.hunet.co.kr/Education/Detail?gid=Y00303172" TargetMode="External"/><Relationship Id="rId58" Type="http://schemas.openxmlformats.org/officeDocument/2006/relationships/hyperlink" Target="https://hbs.hunet.co.kr/Education/Detail?gid=Y00311834" TargetMode="External"/><Relationship Id="rId59" Type="http://schemas.openxmlformats.org/officeDocument/2006/relationships/hyperlink" Target="https://hbs.hunet.co.kr/Education/Detail?gid=Y00300119" TargetMode="External"/><Relationship Id="rId60" Type="http://schemas.openxmlformats.org/officeDocument/2006/relationships/hyperlink" Target="https://hbs.hunet.co.kr/Education/Detail?gid=Y00298379" TargetMode="External"/><Relationship Id="rId61" Type="http://schemas.openxmlformats.org/officeDocument/2006/relationships/hyperlink" Target="https://hbs.hunet.co.kr/Education/Detail?gid=Y00298381" TargetMode="External"/><Relationship Id="rId62" Type="http://schemas.openxmlformats.org/officeDocument/2006/relationships/hyperlink" Target="https://hbs.hunet.co.kr/Education/Detail?gid=Y00265994" TargetMode="External"/><Relationship Id="rId63" Type="http://schemas.openxmlformats.org/officeDocument/2006/relationships/hyperlink" Target="https://hbs.hunet.co.kr/Education/Detail?gid=Y00265995" TargetMode="External"/><Relationship Id="rId64" Type="http://schemas.openxmlformats.org/officeDocument/2006/relationships/hyperlink" Target="https://hbs.hunet.co.kr/Education/Detail?gid=Y00265996" TargetMode="External"/><Relationship Id="rId65" Type="http://schemas.openxmlformats.org/officeDocument/2006/relationships/hyperlink" Target="https://hbs.hunet.co.kr/Education/Detail?gid=Y00260034" TargetMode="External"/><Relationship Id="rId66" Type="http://schemas.openxmlformats.org/officeDocument/2006/relationships/hyperlink" Target="https://hbs.hunet.co.kr/Education/Detail?gid=Y00245649" TargetMode="External"/><Relationship Id="rId67" Type="http://schemas.openxmlformats.org/officeDocument/2006/relationships/hyperlink" Target="https://hbs.hunet.co.kr/Education/Detail?gid=Y00216064" TargetMode="External"/><Relationship Id="rId68" Type="http://schemas.openxmlformats.org/officeDocument/2006/relationships/hyperlink" Target="https://hbs.hunet.co.kr/Education/Detail?gid=Y00183408" TargetMode="External"/><Relationship Id="rId69" Type="http://schemas.openxmlformats.org/officeDocument/2006/relationships/hyperlink" Target="https://hbs.hunet.co.kr/Education/Detail?gid=Y00161578" TargetMode="External"/><Relationship Id="rId70" Type="http://schemas.openxmlformats.org/officeDocument/2006/relationships/hyperlink" Target="https://hbs.hunet.co.kr/Education/Detail?gid=Y00141106" TargetMode="External"/><Relationship Id="rId71" Type="http://schemas.openxmlformats.org/officeDocument/2006/relationships/hyperlink" Target="https://hbs.hunet.co.kr/Education/Detail?gid=Y00117074" TargetMode="External"/><Relationship Id="rId72" Type="http://schemas.openxmlformats.org/officeDocument/2006/relationships/hyperlink" Target="https://hbs.hunet.co.kr/Education/Detail?gid=Y00030777" TargetMode="External"/><Relationship Id="rId73" Type="http://schemas.openxmlformats.org/officeDocument/2006/relationships/hyperlink" Target="https://hbs.hunet.co.kr/Education/Detail?gid=Y00004543" TargetMode="External"/><Relationship Id="rId74" Type="http://schemas.openxmlformats.org/officeDocument/2006/relationships/hyperlink" Target="https://www.kma.or.kr/usrs/eduRegMgnt/eduRegInfoDetailForm.do?p_edutype_cd=001&amp;p_crscd=111429&amp;p_crsseq_id=125909&amp;p_ctgry_id=659&amp;p_hmpgcd=30&amp;mkey=37146" TargetMode="External"/><Relationship Id="rId75" Type="http://schemas.openxmlformats.org/officeDocument/2006/relationships/hyperlink" Target="https://www.kma.or.kr/usrs/eduRegMgnt/eduRegInfoDetailForm.do?p_edutype_cd=001&amp;p_crscd=111431&amp;p_crsseq_id=125920&amp;p_ctgry_id=659&amp;p_hmpgcd=30&amp;mkey=37146" TargetMode="External"/><Relationship Id="rId76" Type="http://schemas.openxmlformats.org/officeDocument/2006/relationships/hyperlink" Target="https://www.kma.or.kr/usrs/eduRegMgnt/eduRegInfoDetailForm.do?p_edutype_cd=001&amp;p_crscd=111203&amp;p_crsseq_id=124935&amp;p_ctgry_id=659&amp;p_hmpgcd=30&amp;mkey=37146" TargetMode="External"/><Relationship Id="rId77" Type="http://schemas.openxmlformats.org/officeDocument/2006/relationships/hyperlink" Target="https://www.kma.or.kr/usrs/eduRegMgnt/eduRegInfoDetailForm.do?p_edutype_cd=001&amp;p_crscd=111455&amp;p_crsseq_id=127447&amp;p_ctgry_id=540&amp;p_hmpgcd=30&amp;mkey=36308" TargetMode="External"/><Relationship Id="rId78" Type="http://schemas.openxmlformats.org/officeDocument/2006/relationships/hyperlink" Target="https://www.kma.or.kr/usrs/eduRegMgnt/eduRegInfoDetailForm.do?p_edutype_cd=001&amp;p_crscd=111454&amp;p_crsseq_id=126010&amp;p_ctgry_id=540&amp;p_hmpgcd=30&amp;mkey=36308" TargetMode="External"/><Relationship Id="rId79" Type="http://schemas.openxmlformats.org/officeDocument/2006/relationships/hyperlink" Target="https://www.kma.or.kr/usrs/eduRegMgnt/eduRegInfoDetailForm.do?p_edutype_cd=001&amp;p_crscd=111663&amp;p_crsseq_id=126808&amp;p_ctgry_id=698&amp;p_hmpgcd=30&amp;mkey=37240" TargetMode="External"/><Relationship Id="rId80" Type="http://schemas.openxmlformats.org/officeDocument/2006/relationships/hyperlink" Target="https://www.kma.or.kr/usrs/eduRegMgnt/eduRegInfoDetailForm.do?p_edutype_cd=001&amp;p_crscd=111391&amp;p_crsseq_id=125716&amp;p_ctgry_id=557&amp;p_hmpgcd=30&amp;mkey=36325" TargetMode="External"/><Relationship Id="rId81" Type="http://schemas.openxmlformats.org/officeDocument/2006/relationships/hyperlink" Target="https://www.kma.or.kr/usrs/eduRegMgnt/eduRegInfoDetailForm.do?p_edutype_cd=001&amp;p_crscd=112242&amp;p_crsseq_id=128239&amp;p_ctgry_id=685&amp;p_hmpgcd=30&amp;mkey=37226" TargetMode="External"/><Relationship Id="rId82" Type="http://schemas.openxmlformats.org/officeDocument/2006/relationships/hyperlink" Target="https://www.kma.or.kr/usrs/eduRegMgnt/eduRegInfoDetailForm.do?p_edutype_cd=001&amp;p_crscd=111395&amp;p_crsseq_id=125734&amp;p_ctgry_id=654&amp;p_hmpgcd=30&amp;mkey=37151" TargetMode="External"/><Relationship Id="rId83" Type="http://schemas.openxmlformats.org/officeDocument/2006/relationships/hyperlink" Target="https://www.kma.or.kr/usrs/eduRegMgnt/eduRegInfoDetailForm.do?p_edutype_cd=001&amp;p_crscd=111308&amp;p_crsseq_id=125269&amp;p_ctgry_id=568&amp;p_hmpgcd=30&amp;mkey=36336" TargetMode="External"/><Relationship Id="rId84" Type="http://schemas.openxmlformats.org/officeDocument/2006/relationships/hyperlink" Target="https://www.kma.or.kr/usrs/eduRegMgnt/eduRegInfoDetailForm.do?p_edutype_cd=001&amp;p_crscd=111156&amp;p_crsseq_id=124678&amp;p_ctgry_id=685&amp;p_hmpgcd=30&amp;mkey=37226" TargetMode="External"/><Relationship Id="rId85" Type="http://schemas.openxmlformats.org/officeDocument/2006/relationships/hyperlink" Target="https://www.kma.or.kr/usrs/eduRegMgnt/eduRegInfoDetailForm.do?p_edutype_cd=001&amp;p_crscd=111157&amp;p_crsseq_id=124689&amp;p_ctgry_id=685&amp;p_hmpgcd=30&amp;mkey=37226" TargetMode="External"/><Relationship Id="rId86" Type="http://schemas.openxmlformats.org/officeDocument/2006/relationships/hyperlink" Target="https://www.kma.or.kr/usrs/eduRegMgnt/eduRegInfoDetailForm.do?p_edutype_cd=001&amp;p_crscd=111399&amp;p_crsseq_id=125760&amp;p_ctgry_id=557&amp;p_hmpgcd=30&amp;mkey=36325" TargetMode="External"/><Relationship Id="rId87" Type="http://schemas.openxmlformats.org/officeDocument/2006/relationships/hyperlink" Target="https://www.kma.or.kr/usrs/eduRegMgnt/eduRegInfoDetailForm.do?p_edutype_cd=001&amp;p_crscd=111158&amp;p_crsseq_id=124696&amp;p_ctgry_id=685&amp;p_hmpgcd=30&amp;mkey=37226" TargetMode="External"/><Relationship Id="rId88" Type="http://schemas.openxmlformats.org/officeDocument/2006/relationships/hyperlink" Target="https://www.kma.or.kr/usrs/eduRegMgnt/eduRegInfoDetailForm.do?p_edutype_cd=001&amp;p_crscd=111215&amp;p_crsseq_id=124953&amp;p_ctgry_id=685&amp;p_hmpgcd=30&amp;mkey=37226" TargetMode="External"/><Relationship Id="rId89" Type="http://schemas.openxmlformats.org/officeDocument/2006/relationships/hyperlink" Target="https://www.kma.or.kr/usrs/eduRegMgnt/eduRegInfoDetailForm.do?p_edutype_cd=001&amp;p_crscd=111216&amp;p_crsseq_id=124955&amp;p_ctgry_id=685&amp;p_hmpgcd=30&amp;mkey=37226" TargetMode="External"/><Relationship Id="rId90" Type="http://schemas.openxmlformats.org/officeDocument/2006/relationships/hyperlink" Target="https://www.kma.or.kr/usrs/eduRegMgnt/eduRegInfoDetailForm.do?p_edutype_cd=001&amp;p_crscd=111394&amp;p_crsseq_id=125732&amp;p_ctgry_id=557&amp;p_hmpgcd=30&amp;mkey=36325" TargetMode="External"/><Relationship Id="rId91" Type="http://schemas.openxmlformats.org/officeDocument/2006/relationships/hyperlink" Target="https://www.kma.or.kr/usrs/eduRegMgnt/eduRegInfoDetailForm.do?p_edutype_cd=001&amp;p_crscd=111398&amp;p_crsseq_id=125754&amp;p_ctgry_id=557&amp;p_hmpgcd=30&amp;mkey=36325" TargetMode="External"/><Relationship Id="rId92" Type="http://schemas.openxmlformats.org/officeDocument/2006/relationships/hyperlink" Target="https://www.kma.or.kr/usrs/eduRegMgnt/eduRegInfoDetailForm.do?p_edutype_cd=001&amp;p_crscd=112195&amp;p_crsseq_id=128027&amp;p_ctgry_id=561&amp;p_hmpgcd=30&amp;mkey=36329" TargetMode="External"/><Relationship Id="rId93" Type="http://schemas.openxmlformats.org/officeDocument/2006/relationships/hyperlink" Target="https://www.kma.or.kr/usrs/eduRegMgnt/eduRegInfoDetailForm.do?p_edutype_cd=001&amp;p_crscd=112193&amp;p_crsseq_id=128018&amp;p_ctgry_id=561&amp;p_hmpgcd=30&amp;mkey=36329" TargetMode="External"/><Relationship Id="rId94" Type="http://schemas.openxmlformats.org/officeDocument/2006/relationships/hyperlink" Target="https://www.kma.or.kr/usrs/eduRegMgnt/eduRegInfoDetailForm.do?p_edutype_cd=001&amp;p_crscd=112092&amp;p_crsseq_id=127495&amp;p_ctgry_id=568&amp;p_hmpgcd=30&amp;mkey=36336" TargetMode="External"/><Relationship Id="rId95" Type="http://schemas.openxmlformats.org/officeDocument/2006/relationships/hyperlink" Target="https://www.kma.or.kr/usrs/eduRegMgnt/eduRegInfoDetailForm.do?p_edutype_cd=001&amp;p_crscd=111870&amp;p_crsseq_id=127436&amp;p_ctgry_id=698&amp;p_hmpgcd=30&amp;mkey=37240" TargetMode="External"/><Relationship Id="rId96" Type="http://schemas.openxmlformats.org/officeDocument/2006/relationships/hyperlink" Target="https://www.kma.or.kr/usrs/eduRegMgnt/eduRegInfoDetailForm.do?p_edutype_cd=001&amp;p_crscd=111311&amp;p_crsseq_id=125282&amp;p_ctgry_id=568&amp;p_hmpgcd=30&amp;mkey=36336" TargetMode="External"/><Relationship Id="rId97" Type="http://schemas.openxmlformats.org/officeDocument/2006/relationships/hyperlink" Target="https://www.kma.or.kr/usrs/eduRegMgnt/eduRegInfoDetailForm.do?p_edutype_cd=001&amp;p_crscd=112095&amp;p_crsseq_id=127512&amp;p_ctgry_id=568&amp;p_hmpgcd=30&amp;mkey=36336" TargetMode="External"/><Relationship Id="rId98" Type="http://schemas.openxmlformats.org/officeDocument/2006/relationships/hyperlink" Target="https://www.kma.or.kr/usrs/eduRegMgnt/eduRegInfoDetailForm.do?p_edutype_cd=001&amp;p_crscd=112093&amp;p_crsseq_id=127503&amp;p_ctgry_id=568&amp;p_hmpgcd=30&amp;mkey=36336" TargetMode="External"/><Relationship Id="rId99" Type="http://schemas.openxmlformats.org/officeDocument/2006/relationships/hyperlink" Target="https://www.kma.or.kr/usrs/eduRegMgnt/eduRegInfoDetailForm.do?p_edutype_cd=001&amp;p_crscd=111553&amp;p_crsseq_id=126304&amp;p_ctgry_id=654&amp;p_hmpgcd=30&amp;mkey=37151" TargetMode="External"/><Relationship Id="rId100" Type="http://schemas.openxmlformats.org/officeDocument/2006/relationships/hyperlink" Target="https://www.kma.or.kr/usrs/eduRegMgnt/eduRegInfoDetailForm.do?p_edutype_cd=001&amp;p_crscd=111290&amp;p_crsseq_id=125201&amp;p_ctgry_id=686&amp;p_hmpgcd=30&amp;mkey=37227" TargetMode="External"/><Relationship Id="rId101" Type="http://schemas.openxmlformats.org/officeDocument/2006/relationships/hyperlink" Target="https://www.kma.or.kr/usrs/eduRegMgnt/eduRegInfoDetailForm.do?p_edutype_cd=001&amp;p_crscd=111186&amp;p_crsseq_id=124850&amp;p_ctgry_id=659&amp;p_hmpgcd=30&amp;mkey=37146" TargetMode="External"/><Relationship Id="rId102" Type="http://schemas.openxmlformats.org/officeDocument/2006/relationships/hyperlink" Target="https://www.kma.or.kr/usrs/eduRegMgnt/eduRegInfoDetailForm.do?p_edutype_cd=001&amp;p_crscd=111662&amp;p_crsseq_id=126804&amp;p_ctgry_id=659&amp;p_hmpgcd=30&amp;mkey=37146" TargetMode="External"/><Relationship Id="rId103" Type="http://schemas.openxmlformats.org/officeDocument/2006/relationships/hyperlink" Target="https://www.kma.or.kr/usrs/eduRegMgnt/eduRegInfoDetailForm.do?p_edutype_cd=001&amp;p_crscd=111450&amp;p_crsseq_id=125998&amp;p_ctgry_id=661&amp;p_hmpgcd=30&amp;mkey=37148" TargetMode="External"/><Relationship Id="rId104" Type="http://schemas.openxmlformats.org/officeDocument/2006/relationships/hyperlink" Target="https://www.kma.or.kr/usrs/eduRegMgnt/eduRegInfoDetailForm.do?p_edutype_cd=001&amp;p_crscd=111439&amp;p_crsseq_id=125958&amp;p_ctgry_id=661&amp;p_hmpgcd=30&amp;mkey=37148" TargetMode="External"/><Relationship Id="rId105" Type="http://schemas.openxmlformats.org/officeDocument/2006/relationships/hyperlink" Target="https://www.kma.or.kr/usrs/eduRegMgnt/eduRegInfoDetailForm.do?p_edutype_cd=001&amp;p_crscd=111438&amp;p_crsseq_id=125954&amp;p_ctgry_id=661&amp;p_hmpgcd=30&amp;mkey=37148" TargetMode="External"/><Relationship Id="rId106" Type="http://schemas.openxmlformats.org/officeDocument/2006/relationships/hyperlink" Target="https://www.kma.or.kr/usrs/eduRegMgnt/eduRegInfoDetailForm.do?p_edutype_cd=001&amp;p_crscd=111440&amp;p_crsseq_id=125961&amp;p_ctgry_id=661&amp;p_hmpgcd=30&amp;mkey=37148" TargetMode="External"/><Relationship Id="rId107" Type="http://schemas.openxmlformats.org/officeDocument/2006/relationships/hyperlink" Target="https://www.kma.or.kr/usrs/eduRegMgnt/eduRegInfoDetailForm.do?p_edutype_cd=001&amp;p_crscd=111205&amp;p_crsseq_id=124937&amp;p_ctgry_id=698&amp;p_hmpgcd=30&amp;mkey=37240" TargetMode="External"/><Relationship Id="rId108" Type="http://schemas.openxmlformats.org/officeDocument/2006/relationships/hyperlink" Target="https://www.kma.or.kr/usrs/eduRegMgnt/eduRegInfoDetailForm.do?p_edutype_cd=001&amp;p_crscd=112331&amp;p_crsseq_id=128542&amp;p_ctgry_id=661&amp;p_hmpgcd=30&amp;mkey=37148" TargetMode="External"/><Relationship Id="rId109" Type="http://schemas.openxmlformats.org/officeDocument/2006/relationships/hyperlink" Target="https://www.kma.or.kr/usrs/eduRegMgnt/eduRegInfoDetailForm.do?p_edutype_cd=002&amp;p_crscd=112029&amp;p_crsseq_id=127366&amp;p_ctgry_id=664&amp;p_hmpgcd=30&amp;mkey=37172" TargetMode="External"/><Relationship Id="rId110" Type="http://schemas.openxmlformats.org/officeDocument/2006/relationships/hyperlink" Target="https://www.kma.or.kr/usrs/eduRegMgnt/eduRegInfoDetailForm.do?p_edutype_cd=002&amp;p_crscd=110300&amp;p_crsseq_id=126735&amp;p_ctgry_id=665&amp;p_hmpgcd=30&amp;mkey=37170" TargetMode="External"/><Relationship Id="rId111" Type="http://schemas.openxmlformats.org/officeDocument/2006/relationships/hyperlink" Target="https://www.kma.or.kr/usrs/eduRegMgnt/eduRegInfoDetailForm.do?p_edutype_cd=001&amp;p_crscd=112121&amp;p_crsseq_id=127624&amp;p_ctgry_id=685&amp;p_hmpgcd=30&amp;mkey=37226" TargetMode="External"/><Relationship Id="rId112" Type="http://schemas.openxmlformats.org/officeDocument/2006/relationships/hyperlink" Target="https://www.kpc.or.kr/PTWED003_dtil_view.do?ecno=47493&amp;cono=151289" TargetMode="External"/><Relationship Id="rId113" Type="http://schemas.openxmlformats.org/officeDocument/2006/relationships/hyperlink" Target="https://www.kpc.or.kr/PTWED003_dtil_view.do?ecno=46981&amp;cono=149644" TargetMode="External"/><Relationship Id="rId114" Type="http://schemas.openxmlformats.org/officeDocument/2006/relationships/hyperlink" Target="https://www.kpc.or.kr/PTWED003_dtil_view.do?ecno=47024&amp;cono=149792" TargetMode="External"/><Relationship Id="rId115" Type="http://schemas.openxmlformats.org/officeDocument/2006/relationships/hyperlink" Target="https://www.kpc.or.kr/PTWED003_dtil_view.do?ecno=46984&amp;cono=157559" TargetMode="External"/><Relationship Id="rId116" Type="http://schemas.openxmlformats.org/officeDocument/2006/relationships/hyperlink" Target="https://www.kpc.or.kr/PTWED003_dtil_view.do?ecno=47312&amp;cono=151171" TargetMode="External"/><Relationship Id="rId117" Type="http://schemas.openxmlformats.org/officeDocument/2006/relationships/hyperlink" Target="https://www.kpc.or.kr/PTWED003_dtil_view.do?ecno=48201&amp;cono=155503" TargetMode="External"/><Relationship Id="rId118" Type="http://schemas.openxmlformats.org/officeDocument/2006/relationships/hyperlink" Target="https://www.kpc.or.kr/PTWED003_dtil_view.do?ecno=47021&amp;cono=157542" TargetMode="External"/><Relationship Id="rId119" Type="http://schemas.openxmlformats.org/officeDocument/2006/relationships/hyperlink" Target="https://www.kpc.or.kr/PTWED003_dtil_view.do?ecno=47484&amp;cono=151251" TargetMode="External"/><Relationship Id="rId120" Type="http://schemas.openxmlformats.org/officeDocument/2006/relationships/hyperlink" Target="https://www.kpc.or.kr/PTWED003_dtil_view.do?ecno=48450&amp;cono=156250" TargetMode="External"/><Relationship Id="rId121" Type="http://schemas.openxmlformats.org/officeDocument/2006/relationships/hyperlink" Target="https://www.kpc.or.kr/PTWED003_dtil_view.do?ecno=46996&amp;cono=149756" TargetMode="External"/><Relationship Id="rId122" Type="http://schemas.openxmlformats.org/officeDocument/2006/relationships/hyperlink" Target="https://www.kpc.or.kr/PTWED003_dtil_view.do?ecno=47489&amp;cono=151271" TargetMode="External"/><Relationship Id="rId123" Type="http://schemas.openxmlformats.org/officeDocument/2006/relationships/hyperlink" Target="https://www.kpc.or.kr/PTWED003_dtil_view.do?ecno=47464&amp;cono=151642" TargetMode="External"/><Relationship Id="rId124" Type="http://schemas.openxmlformats.org/officeDocument/2006/relationships/hyperlink" Target="https://www.kpc.or.kr/PTWED003_dtil_view.do?ecno=47303&amp;cono=151162" TargetMode="External"/><Relationship Id="rId125" Type="http://schemas.openxmlformats.org/officeDocument/2006/relationships/hyperlink" Target="https://www.kpc.or.kr/PTWED003_dtil_view.do?ecno=47123&amp;cono=150018" TargetMode="External"/><Relationship Id="rId126" Type="http://schemas.openxmlformats.org/officeDocument/2006/relationships/hyperlink" Target="https://www.kpc.or.kr/PTWED003_dtil_view.do?ecno=47257&amp;cono=151739" TargetMode="External"/><Relationship Id="rId127" Type="http://schemas.openxmlformats.org/officeDocument/2006/relationships/hyperlink" Target="https://www.kpc.or.kr/PTWED003_dtil_view.do?ecno=48405&amp;cono=156077" TargetMode="External"/><Relationship Id="rId128" Type="http://schemas.openxmlformats.org/officeDocument/2006/relationships/hyperlink" Target="https://www.kpc.or.kr/PTWED003_dtil_view.do?ecno=46676&amp;cono=148500" TargetMode="External"/><Relationship Id="rId129" Type="http://schemas.openxmlformats.org/officeDocument/2006/relationships/hyperlink" Target="https://www.kpc.or.kr/PTWED003_dtil_view.do?ecno=47017&amp;cono=149799" TargetMode="External"/><Relationship Id="rId130" Type="http://schemas.openxmlformats.org/officeDocument/2006/relationships/hyperlink" Target="https://www.kpc.or.kr/PTWED003_dtil_view.do?ecno=46681&amp;cono=148456" TargetMode="External"/><Relationship Id="rId131" Type="http://schemas.openxmlformats.org/officeDocument/2006/relationships/hyperlink" Target="https://www.kpc.or.kr/PTWED003_dtil_view.do?ecno=47011&amp;cono=157556" TargetMode="External"/><Relationship Id="rId132" Type="http://schemas.openxmlformats.org/officeDocument/2006/relationships/hyperlink" Target="https://www.kpc.or.kr/PTWED003_dtil_view.do?ecno=49013&amp;cono=157935" TargetMode="External"/><Relationship Id="rId133" Type="http://schemas.openxmlformats.org/officeDocument/2006/relationships/hyperlink" Target="https://www.kpc.or.kr/PTWED003_dtil_view.do?ecno=49312&amp;cono=159001" TargetMode="External"/><Relationship Id="rId134" Type="http://schemas.openxmlformats.org/officeDocument/2006/relationships/hyperlink" Target="https://www.kpc.or.kr/PTWED003_dtil_view.do?ecno=47005&amp;cono=156435" TargetMode="External"/><Relationship Id="rId135" Type="http://schemas.openxmlformats.org/officeDocument/2006/relationships/hyperlink" Target="https://www.kpc.or.kr/PTWED003_dtil_view.do?ecno=47302&amp;cono=151141" TargetMode="External"/><Relationship Id="rId136" Type="http://schemas.openxmlformats.org/officeDocument/2006/relationships/hyperlink" Target="https://www.kpc.or.kr/PTWED003_dtil_view.do?ecno=47306&amp;cono=151157" TargetMode="External"/><Relationship Id="rId137" Type="http://schemas.openxmlformats.org/officeDocument/2006/relationships/hyperlink" Target="https://www.kpc.or.kr/PTWED003_dtil_view.do?ecno=46982&amp;cono=149636" TargetMode="External"/><Relationship Id="rId138" Type="http://schemas.openxmlformats.org/officeDocument/2006/relationships/hyperlink" Target="https://www.kpc.or.kr/PTWED003_dtil_view.do?ecno=48871&amp;cono=157540" TargetMode="External"/><Relationship Id="rId139" Type="http://schemas.openxmlformats.org/officeDocument/2006/relationships/hyperlink" Target="https://www.kpc.or.kr/PTWED003_dtil_view.do?ecno=47001&amp;cono=149763" TargetMode="External"/><Relationship Id="rId140" Type="http://schemas.openxmlformats.org/officeDocument/2006/relationships/hyperlink" Target="https://www.kpc.or.kr/PTWED003_dtil_view.do?ecno=47841&amp;cono=153109" TargetMode="External"/><Relationship Id="rId141" Type="http://schemas.openxmlformats.org/officeDocument/2006/relationships/hyperlink" Target="https://www.kpc.or.kr/PTWED003_dtil_view.do?ecno=47301&amp;cono=158546" TargetMode="External"/><Relationship Id="rId142" Type="http://schemas.openxmlformats.org/officeDocument/2006/relationships/hyperlink" Target="https://www.kpc.or.kr/PTWED003_dtil_view.do?ecno=46979&amp;cono=157552" TargetMode="External"/><Relationship Id="rId143" Type="http://schemas.openxmlformats.org/officeDocument/2006/relationships/hyperlink" Target="https://www.kpc.or.kr/PTWED003_dtil_view.do?ecno=46980&amp;cono=149684" TargetMode="External"/><Relationship Id="rId144" Type="http://schemas.openxmlformats.org/officeDocument/2006/relationships/hyperlink" Target="https://www.kpc.or.kr/PTWED003_dtil_view.do?ecno=47362&amp;cono=157458" TargetMode="External"/><Relationship Id="rId145" Type="http://schemas.openxmlformats.org/officeDocument/2006/relationships/hyperlink" Target="https://www.kpc.or.kr/PTWED003_dtil_view.do?ecno=46976&amp;cono=157561" TargetMode="External"/><Relationship Id="rId146" Type="http://schemas.openxmlformats.org/officeDocument/2006/relationships/hyperlink" Target="https://www.kpc.or.kr/PTWED003_dtil_view.do?ecno=46714&amp;cono=148678" TargetMode="External"/><Relationship Id="rId147" Type="http://schemas.openxmlformats.org/officeDocument/2006/relationships/hyperlink" Target="https://www.kpc.or.kr/PTWED003_dtil_view.do?ecno=47487&amp;cono=151301" TargetMode="External"/><Relationship Id="rId148" Type="http://schemas.openxmlformats.org/officeDocument/2006/relationships/hyperlink" Target="https://www.kpc.or.kr/PTWED003_dtil_view.do?ecno=47354&amp;cono=151869" TargetMode="External"/><Relationship Id="rId149" Type="http://schemas.openxmlformats.org/officeDocument/2006/relationships/hyperlink" Target="https://www.kpc.or.kr/PTWED003_dtil_view.do?ecno=47022&amp;cono=157545" TargetMode="External"/><Relationship Id="rId150" Type="http://schemas.openxmlformats.org/officeDocument/2006/relationships/hyperlink" Target="https://www.kpc.or.kr/PTWED003_dtil_view.do?ecno=47648&amp;cono=153286" TargetMode="External"/><Relationship Id="rId151" Type="http://schemas.openxmlformats.org/officeDocument/2006/relationships/hyperlink" Target="https://www.kpc.or.kr/PTWED003_dtil_view.do?ecno=46645&amp;cono=148637" TargetMode="External"/><Relationship Id="rId152" Type="http://schemas.openxmlformats.org/officeDocument/2006/relationships/hyperlink" Target="https://www.kpc.or.kr/PTWED003_dtil_view.do?ecno=47307&amp;cono=151147" TargetMode="External"/><Relationship Id="rId153" Type="http://schemas.openxmlformats.org/officeDocument/2006/relationships/hyperlink" Target="https://www.kpc.or.kr/PTWED003_dtil_view.do?ecno=46995&amp;cono=149744" TargetMode="External"/><Relationship Id="rId154" Type="http://schemas.openxmlformats.org/officeDocument/2006/relationships/hyperlink" Target="https://www.kpc.or.kr/PTWED003_dtil_view.do?ecno=47304&amp;cono=151168" TargetMode="External"/><Relationship Id="rId155" Type="http://schemas.openxmlformats.org/officeDocument/2006/relationships/hyperlink" Target="https://www.kpc.or.kr/PTWED003_dtil_view.do?ecno=46698&amp;cono=148682" TargetMode="External"/><Relationship Id="rId156" Type="http://schemas.openxmlformats.org/officeDocument/2006/relationships/hyperlink" Target="https://www.kpc.or.kr/PTWED003_dtil_view.do?ecno=47366&amp;cono=151859" TargetMode="External"/><Relationship Id="rId157" Type="http://schemas.openxmlformats.org/officeDocument/2006/relationships/hyperlink" Target="https://www.kpc.or.kr/PTWED003_dtil_view.do?ecno=47305&amp;cono=151165" TargetMode="External"/><Relationship Id="rId158" Type="http://schemas.openxmlformats.org/officeDocument/2006/relationships/hyperlink" Target="https://www.kpc.or.kr/PTWED003_dtil_view.do?ecno=47003&amp;cono=149790" TargetMode="External"/><Relationship Id="rId159" Type="http://schemas.openxmlformats.org/officeDocument/2006/relationships/hyperlink" Target="https://www.kpc.or.kr/PTWED003_dtil_view.do?ecno=47009&amp;cono=149734" TargetMode="External"/><Relationship Id="rId160" Type="http://schemas.openxmlformats.org/officeDocument/2006/relationships/hyperlink" Target="https://www.kpc.or.kr/PTWED003_dtil_view.do?ecno=46993&amp;cono=149657" TargetMode="External"/><Relationship Id="rId161" Type="http://schemas.openxmlformats.org/officeDocument/2006/relationships/hyperlink" Target="https://www.kpc.or.kr/PTWED003_dtil_view.do?ecno=47210&amp;cono=150994" TargetMode="External"/><Relationship Id="rId162" Type="http://schemas.openxmlformats.org/officeDocument/2006/relationships/hyperlink" Target="https://www.kpc.or.kr/PTWED003_dtil_view.do?ecno=47016&amp;cono=149794" TargetMode="External"/><Relationship Id="rId163" Type="http://schemas.openxmlformats.org/officeDocument/2006/relationships/hyperlink" Target="https://www.kpc.or.kr/PTWED003_dtil_view.do?ecno=46998&amp;cono=149779" TargetMode="External"/><Relationship Id="rId164" Type="http://schemas.openxmlformats.org/officeDocument/2006/relationships/hyperlink" Target="https://www.kpc.or.kr/PTWED003_dtil_view.do?ecno=48063&amp;cono=156114" TargetMode="External"/><Relationship Id="rId165" Type="http://schemas.openxmlformats.org/officeDocument/2006/relationships/hyperlink" Target="https://www.kpc.or.kr/PTWED003_dtil_view.do?ecno=47322&amp;cono=156998" TargetMode="External"/><Relationship Id="rId166" Type="http://schemas.openxmlformats.org/officeDocument/2006/relationships/hyperlink" Target="https://www.kpc.or.kr/PTWED003_dtil_view.do?ecno=48106&amp;cono=155195" TargetMode="External"/><Relationship Id="rId167" Type="http://schemas.openxmlformats.org/officeDocument/2006/relationships/hyperlink" Target="https://www.kpc.or.kr/PTWED003_dtil_view.do?ecno=48545&amp;cono=156696" TargetMode="External"/><Relationship Id="rId168" Type="http://schemas.openxmlformats.org/officeDocument/2006/relationships/hyperlink" Target="https://www.kpc.or.kr/PTWED003_dtil_view.do?ecno=48884&amp;cono=157582" TargetMode="External"/><Relationship Id="rId169" Type="http://schemas.openxmlformats.org/officeDocument/2006/relationships/hyperlink" Target="https://www.kpc.or.kr/PTWED003_dtil_view.do?ecno=47006&amp;cono=149777" TargetMode="External"/><Relationship Id="rId170" Type="http://schemas.openxmlformats.org/officeDocument/2006/relationships/hyperlink" Target="https://www.kpc.or.kr/PTWED003_dtil_view.do?ecno=46649&amp;cono=148642" TargetMode="External"/><Relationship Id="rId171" Type="http://schemas.openxmlformats.org/officeDocument/2006/relationships/hyperlink" Target="https://www.kpc.or.kr/PTWED003_dtil_view.do?ecno=47692&amp;cono=153107" TargetMode="External"/><Relationship Id="rId172" Type="http://schemas.openxmlformats.org/officeDocument/2006/relationships/hyperlink" Target="https://www.kpc.or.kr/PTWED003_dtil_view.do?ecno=46991&amp;cono=157551" TargetMode="External"/><Relationship Id="rId173" Type="http://schemas.openxmlformats.org/officeDocument/2006/relationships/hyperlink" Target="https://www.kpc.or.kr/PTWED003_dtil_view.do?ecno=46702&amp;cono=148686" TargetMode="External"/><Relationship Id="rId174" Type="http://schemas.openxmlformats.org/officeDocument/2006/relationships/hyperlink" Target="https://m.multicampus.com/course/crsDetail?corsCd=FA00A0" TargetMode="External"/><Relationship Id="rId175" Type="http://schemas.openxmlformats.org/officeDocument/2006/relationships/hyperlink" Target="https://m.multicampus.com/course/crsDetail?corsCd=FA015O" TargetMode="External"/><Relationship Id="rId176" Type="http://schemas.openxmlformats.org/officeDocument/2006/relationships/hyperlink" Target="https://m.multicampus.com/course/crsDetail?corsCd=Q29940" TargetMode="External"/><Relationship Id="rId177" Type="http://schemas.openxmlformats.org/officeDocument/2006/relationships/hyperlink" Target="https://m.multicampus.com/course/crsDetail?corsCd=FB00A4" TargetMode="External"/><Relationship Id="rId178" Type="http://schemas.openxmlformats.org/officeDocument/2006/relationships/hyperlink" Target="https://m.multicampus.com/course/crsDetail?corsCd=FB00A5" TargetMode="External"/><Relationship Id="rId179" Type="http://schemas.openxmlformats.org/officeDocument/2006/relationships/hyperlink" Target="https://m.multicampus.com/course/crsDetail?corsCd=FB00A6" TargetMode="External"/><Relationship Id="rId180" Type="http://schemas.openxmlformats.org/officeDocument/2006/relationships/hyperlink" Target="https://m.multicampus.com/course/crsDetail?corsCd=EA09X3" TargetMode="External"/><Relationship Id="rId181" Type="http://schemas.openxmlformats.org/officeDocument/2006/relationships/hyperlink" Target="https://m.multicampus.com/course/crsDetail?corsCd=EA0D0U" TargetMode="External"/><Relationship Id="rId182" Type="http://schemas.openxmlformats.org/officeDocument/2006/relationships/hyperlink" Target="https://m.multicampus.com/course/crsDetail?corsCd=FA01P1" TargetMode="External"/><Relationship Id="rId183" Type="http://schemas.openxmlformats.org/officeDocument/2006/relationships/hyperlink" Target="https://m.multicampus.com/course/crsDetail?corsCd=FA01U8" TargetMode="External"/><Relationship Id="rId184" Type="http://schemas.openxmlformats.org/officeDocument/2006/relationships/hyperlink" Target="https://m.multicampus.com/course/crsDetail?corsCd=FA01LB" TargetMode="External"/><Relationship Id="rId185" Type="http://schemas.openxmlformats.org/officeDocument/2006/relationships/drawing" Target="../drawings/drawing1.xml"/><Relationship Id="rId186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work24.go.kr/hr/a/a/3100/selectTracseDetl.do?tracseId=ACG20243000973001&amp;tracseTme=324&amp;crseTracseSe=C0031&amp;trainstCstmrId=500020034527" TargetMode="External"/><Relationship Id="rId2" Type="http://schemas.openxmlformats.org/officeDocument/2006/relationships/hyperlink" Target="https://www.work24.go.kr/hr/a/a/3100/selectTracseDetl.do?tracseId=ACG20243001054796&amp;tracseTme=4&amp;crseTracseSe=C0031&amp;trainstCstmrId=500020015894" TargetMode="External"/><Relationship Id="rId3" Type="http://schemas.openxmlformats.org/officeDocument/2006/relationships/hyperlink" Target="https://www.work24.go.kr/hr/a/a/3100/selectTracseDetl.do?tracseId=ACG20243001052023&amp;tracseTme=28&amp;crseTracseSe=C0031&amp;trainstCstmrId=500020034527" TargetMode="External"/><Relationship Id="rId4" Type="http://schemas.openxmlformats.org/officeDocument/2006/relationships/hyperlink" Target="https://www.work24.go.kr/hr/a/a/3100/selectTracseDetl.do?tracseId=ACG20243001004851&amp;tracseTme=141&amp;crseTracseSe=C0031&amp;trainstCstmrId=500020050628" TargetMode="External"/><Relationship Id="rId5" Type="http://schemas.openxmlformats.org/officeDocument/2006/relationships/hyperlink" Target="https://www.gseek.kr/user/course/online/view?s_sbjct_sn=5793" TargetMode="External"/><Relationship Id="rId6" Type="http://schemas.openxmlformats.org/officeDocument/2006/relationships/hyperlink" Target="https://www.gseek.kr/user/course/online/view?s_sbjct_sn=52754" TargetMode="External"/><Relationship Id="rId7" Type="http://schemas.openxmlformats.org/officeDocument/2006/relationships/hyperlink" Target="https://www.gseek.kr/user/course/online/view?s_sbjct_sn=56932" TargetMode="External"/><Relationship Id="rId8" Type="http://schemas.openxmlformats.org/officeDocument/2006/relationships/hyperlink" Target="https://hbs.hunet.co.kr/Education/Detail?gid=Y00337189" TargetMode="External"/><Relationship Id="rId9" Type="http://schemas.openxmlformats.org/officeDocument/2006/relationships/hyperlink" Target="https://hbs.hunet.co.kr/Education/Detail?gid=Y00319690" TargetMode="External"/><Relationship Id="rId10" Type="http://schemas.openxmlformats.org/officeDocument/2006/relationships/hyperlink" Target="https://hbs.hunet.co.kr/Education/Detail?gid=Y00317658" TargetMode="External"/><Relationship Id="rId11" Type="http://schemas.openxmlformats.org/officeDocument/2006/relationships/hyperlink" Target="https://hbs.hunet.co.kr/Education/Detail?gid=Y00260034" TargetMode="External"/><Relationship Id="rId12" Type="http://schemas.openxmlformats.org/officeDocument/2006/relationships/hyperlink" Target="https://hbs.hunet.co.kr/Education/Detail?gid=Y00030777" TargetMode="External"/><Relationship Id="rId13" Type="http://schemas.openxmlformats.org/officeDocument/2006/relationships/hyperlink" Target="https://www.kma.or.kr/usrs/eduRegMgnt/eduRegInfoDetailForm.do?p_edutype_cd=001&amp;p_crscd=111663&amp;p_crsseq_id=126808&amp;p_ctgry_id=698&amp;p_hmpgcd=30&amp;mkey=37240" TargetMode="External"/><Relationship Id="rId14" Type="http://schemas.openxmlformats.org/officeDocument/2006/relationships/hyperlink" Target="https://www.kma.or.kr/usrs/eduRegMgnt/eduRegInfoDetailForm.do?p_edutype_cd=001&amp;p_crscd=111186&amp;p_crsseq_id=124850&amp;p_ctgry_id=659&amp;p_hmpgcd=30&amp;mkey=37146" TargetMode="External"/><Relationship Id="rId15" Type="http://schemas.openxmlformats.org/officeDocument/2006/relationships/hyperlink" Target="https://www.kma.or.kr/usrs/eduRegMgnt/eduRegInfoDetailForm.do?p_edutype_cd=001&amp;p_crscd=111450&amp;p_crsseq_id=125998&amp;p_ctgry_id=661&amp;p_hmpgcd=30&amp;mkey=37148" TargetMode="External"/><Relationship Id="rId16" Type="http://schemas.openxmlformats.org/officeDocument/2006/relationships/hyperlink" Target="https://www.kma.or.kr/usrs/eduRegMgnt/eduRegInfoDetailForm.do?p_edutype_cd=001&amp;p_crscd=111205&amp;p_crsseq_id=124937&amp;p_ctgry_id=698&amp;p_hmpgcd=30&amp;mkey=37240" TargetMode="External"/><Relationship Id="rId17" Type="http://schemas.openxmlformats.org/officeDocument/2006/relationships/hyperlink" Target="https://www.kpc.or.kr/PTWED003_dtil_view.do?ecno=49312&amp;cono=159001" TargetMode="External"/><Relationship Id="rId18" Type="http://schemas.openxmlformats.org/officeDocument/2006/relationships/hyperlink" Target="https://www.kpc.or.kr/PTWED003_dtil_view.do?ecno=47022&amp;cono=157545" TargetMode="External"/><Relationship Id="rId19" Type="http://schemas.openxmlformats.org/officeDocument/2006/relationships/hyperlink" Target="https://www.kpc.or.kr/PTWED003_dtil_view.do?ecno=47305&amp;cono=151165" TargetMode="External"/><Relationship Id="rId20" Type="http://schemas.openxmlformats.org/officeDocument/2006/relationships/hyperlink" Target="https://www.kpc.or.kr/PTWED003_dtil_view.do?ecno=46993&amp;cono=149657" TargetMode="External"/><Relationship Id="rId2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37.3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25.3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2" t="s">
        <v>6</v>
      </c>
    </row>
    <row r="6" customFormat="false" ht="15" hidden="false" customHeight="false" outlineLevel="0" collapsed="false">
      <c r="A6" s="4" t="s">
        <v>7</v>
      </c>
      <c r="B6" s="2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26.85" hidden="false" customHeight="false" outlineLevel="0" collapsed="false">
      <c r="A8" s="4" t="s">
        <v>11</v>
      </c>
      <c r="B8" s="2" t="s">
        <v>12</v>
      </c>
    </row>
    <row r="9" customFormat="false" ht="26.85" hidden="false" customHeight="false" outlineLevel="0" collapsed="false">
      <c r="A9" s="4" t="s">
        <v>13</v>
      </c>
      <c r="B9" s="2" t="s">
        <v>14</v>
      </c>
    </row>
    <row r="10" customFormat="false" ht="15" hidden="false" customHeight="false" outlineLevel="0" collapsed="false">
      <c r="A10" s="4" t="s">
        <v>15</v>
      </c>
      <c r="B10" s="5" t="s">
        <v>16</v>
      </c>
    </row>
    <row r="11" customFormat="false" ht="39.55" hidden="false" customHeight="false" outlineLevel="0" collapsed="false">
      <c r="A11" s="4" t="s">
        <v>17</v>
      </c>
      <c r="B11" s="2" t="s">
        <v>18</v>
      </c>
    </row>
    <row r="12" customFormat="false" ht="15" hidden="false" customHeight="false" outlineLevel="0" collapsed="false">
      <c r="A12" s="4" t="s">
        <v>19</v>
      </c>
      <c r="B12" s="2" t="s">
        <v>20</v>
      </c>
    </row>
    <row r="13" customFormat="false" ht="15" hidden="false" customHeight="false" outlineLevel="0" collapsed="false">
      <c r="A13" s="4" t="s">
        <v>21</v>
      </c>
      <c r="B13" s="5" t="s">
        <v>22</v>
      </c>
    </row>
    <row r="14" customFormat="false" ht="15" hidden="false" customHeight="false" outlineLevel="0" collapsed="false">
      <c r="A14" s="3"/>
      <c r="B14" s="2"/>
    </row>
    <row r="15" customFormat="false" ht="15" hidden="false" customHeight="false" outlineLevel="0" collapsed="false">
      <c r="A15" s="4" t="s">
        <v>23</v>
      </c>
      <c r="B15" s="2"/>
    </row>
    <row r="16" customFormat="false" ht="15" hidden="false" customHeight="false" outlineLevel="0" collapsed="false">
      <c r="A16" s="6" t="s">
        <v>24</v>
      </c>
      <c r="B16" s="7" t="s">
        <v>25</v>
      </c>
    </row>
    <row r="17" customFormat="false" ht="15" hidden="false" customHeight="false" outlineLevel="0" collapsed="false">
      <c r="A17" s="6" t="s">
        <v>26</v>
      </c>
      <c r="B17" s="7" t="s">
        <v>27</v>
      </c>
    </row>
    <row r="18" customFormat="false" ht="15" hidden="false" customHeight="false" outlineLevel="0" collapsed="false">
      <c r="A18" s="8" t="s">
        <v>28</v>
      </c>
      <c r="B18" s="9" t="s">
        <v>29</v>
      </c>
    </row>
    <row r="19" customFormat="false" ht="15" hidden="false" customHeight="false" outlineLevel="0" collapsed="false">
      <c r="A19" s="8" t="s">
        <v>30</v>
      </c>
      <c r="B19" s="9" t="s">
        <v>31</v>
      </c>
    </row>
    <row r="20" customFormat="false" ht="15" hidden="false" customHeight="false" outlineLevel="0" collapsed="false">
      <c r="A20" s="8" t="s">
        <v>32</v>
      </c>
      <c r="B20" s="9" t="s">
        <v>33</v>
      </c>
    </row>
    <row r="21" customFormat="false" ht="15" hidden="false" customHeight="false" outlineLevel="0" collapsed="false">
      <c r="A21" s="8" t="s">
        <v>34</v>
      </c>
      <c r="B21" s="9"/>
    </row>
    <row r="22" customFormat="false" ht="15" hidden="false" customHeight="false" outlineLevel="0" collapsed="false">
      <c r="A22" s="8" t="s">
        <v>35</v>
      </c>
      <c r="B22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4" min="13" style="0" width="20"/>
    <col collapsed="false" customWidth="true" hidden="false" outlineLevel="0" max="15" min="15" style="0" width="30"/>
    <col collapsed="false" customWidth="true" hidden="false" outlineLevel="0" max="16" min="16" style="0" width="10"/>
    <col collapsed="false" customWidth="true" hidden="false" outlineLevel="0" max="17" min="17" style="0" width="12"/>
  </cols>
  <sheetData>
    <row r="1" customFormat="false" ht="31.5" hidden="false" customHeight="true" outlineLevel="0" collapsed="false">
      <c r="A1" s="10" t="s">
        <v>37</v>
      </c>
      <c r="B1" s="10" t="s">
        <v>7</v>
      </c>
      <c r="C1" s="10" t="s">
        <v>38</v>
      </c>
      <c r="D1" s="10" t="s">
        <v>24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26</v>
      </c>
      <c r="J1" s="10" t="s">
        <v>43</v>
      </c>
      <c r="K1" s="10" t="s">
        <v>44</v>
      </c>
      <c r="L1" s="10" t="s">
        <v>11</v>
      </c>
      <c r="M1" s="10" t="s">
        <v>32</v>
      </c>
      <c r="N1" s="10" t="s">
        <v>34</v>
      </c>
      <c r="O1" s="10" t="s">
        <v>35</v>
      </c>
      <c r="P1" s="10" t="s">
        <v>45</v>
      </c>
      <c r="Q1" s="10" t="s">
        <v>46</v>
      </c>
    </row>
    <row r="2" customFormat="false" ht="26.85" hidden="false" customHeight="false" outlineLevel="0" collapsed="false">
      <c r="A2" s="11" t="n">
        <v>1</v>
      </c>
      <c r="B2" s="12" t="s">
        <v>47</v>
      </c>
      <c r="C2" s="11" t="s">
        <v>48</v>
      </c>
      <c r="D2" s="12" t="s">
        <v>49</v>
      </c>
      <c r="E2" s="12" t="s">
        <v>50</v>
      </c>
      <c r="F2" s="12" t="s">
        <v>51</v>
      </c>
      <c r="G2" s="13" t="s">
        <v>52</v>
      </c>
      <c r="H2" s="12" t="s">
        <v>53</v>
      </c>
      <c r="I2" s="11" t="s">
        <v>54</v>
      </c>
      <c r="J2" s="11"/>
      <c r="K2" s="14"/>
      <c r="L2" s="14"/>
      <c r="M2" s="14"/>
      <c r="N2" s="14"/>
      <c r="O2" s="14"/>
      <c r="P2" s="14"/>
      <c r="Q2" s="15"/>
    </row>
    <row r="3" customFormat="false" ht="26.85" hidden="false" customHeight="false" outlineLevel="0" collapsed="false">
      <c r="A3" s="11" t="n">
        <v>2</v>
      </c>
      <c r="B3" s="12" t="s">
        <v>55</v>
      </c>
      <c r="C3" s="11" t="s">
        <v>56</v>
      </c>
      <c r="D3" s="12" t="s">
        <v>57</v>
      </c>
      <c r="E3" s="12" t="s">
        <v>50</v>
      </c>
      <c r="F3" s="12" t="s">
        <v>51</v>
      </c>
      <c r="G3" s="13" t="s">
        <v>52</v>
      </c>
      <c r="H3" s="12" t="s">
        <v>58</v>
      </c>
      <c r="I3" s="11" t="s">
        <v>54</v>
      </c>
      <c r="J3" s="11"/>
      <c r="K3" s="14"/>
      <c r="L3" s="14"/>
      <c r="M3" s="14"/>
      <c r="N3" s="14"/>
      <c r="O3" s="14"/>
      <c r="P3" s="14"/>
      <c r="Q3" s="15"/>
    </row>
    <row r="4" customFormat="false" ht="15" hidden="false" customHeight="false" outlineLevel="0" collapsed="false">
      <c r="A4" s="11" t="n">
        <v>3</v>
      </c>
      <c r="B4" s="12" t="s">
        <v>59</v>
      </c>
      <c r="C4" s="11" t="s">
        <v>60</v>
      </c>
      <c r="D4" s="12" t="s">
        <v>61</v>
      </c>
      <c r="E4" s="12" t="s">
        <v>50</v>
      </c>
      <c r="F4" s="12" t="s">
        <v>62</v>
      </c>
      <c r="G4" s="13" t="s">
        <v>52</v>
      </c>
      <c r="H4" s="12" t="s">
        <v>58</v>
      </c>
      <c r="I4" s="11" t="s">
        <v>54</v>
      </c>
      <c r="J4" s="11"/>
      <c r="K4" s="14"/>
      <c r="L4" s="14"/>
      <c r="M4" s="14"/>
      <c r="N4" s="14"/>
      <c r="O4" s="14"/>
      <c r="P4" s="14"/>
      <c r="Q4" s="15"/>
    </row>
    <row r="5" customFormat="false" ht="15" hidden="false" customHeight="false" outlineLevel="0" collapsed="false">
      <c r="A5" s="11" t="n">
        <v>4</v>
      </c>
      <c r="B5" s="12" t="s">
        <v>63</v>
      </c>
      <c r="C5" s="11" t="s">
        <v>64</v>
      </c>
      <c r="D5" s="12" t="s">
        <v>65</v>
      </c>
      <c r="E5" s="12" t="s">
        <v>66</v>
      </c>
      <c r="F5" s="12" t="s">
        <v>62</v>
      </c>
      <c r="G5" s="13" t="s">
        <v>52</v>
      </c>
      <c r="H5" s="12" t="s">
        <v>58</v>
      </c>
      <c r="I5" s="11" t="s">
        <v>54</v>
      </c>
      <c r="J5" s="11"/>
      <c r="K5" s="14"/>
      <c r="L5" s="14"/>
      <c r="M5" s="14"/>
      <c r="N5" s="14"/>
      <c r="O5" s="14"/>
      <c r="P5" s="14"/>
      <c r="Q5" s="15"/>
    </row>
    <row r="6" customFormat="false" ht="23.85" hidden="false" customHeight="false" outlineLevel="0" collapsed="false">
      <c r="A6" s="11" t="n">
        <v>5</v>
      </c>
      <c r="B6" s="12" t="s">
        <v>47</v>
      </c>
      <c r="C6" s="11" t="s">
        <v>67</v>
      </c>
      <c r="D6" s="12" t="s">
        <v>68</v>
      </c>
      <c r="E6" s="12" t="s">
        <v>50</v>
      </c>
      <c r="F6" s="12" t="s">
        <v>62</v>
      </c>
      <c r="G6" s="13" t="s">
        <v>52</v>
      </c>
      <c r="H6" s="12" t="s">
        <v>58</v>
      </c>
      <c r="I6" s="11" t="s">
        <v>54</v>
      </c>
      <c r="J6" s="11"/>
      <c r="K6" s="14"/>
      <c r="L6" s="14"/>
      <c r="M6" s="14"/>
      <c r="N6" s="14"/>
      <c r="O6" s="14"/>
      <c r="P6" s="14"/>
      <c r="Q6" s="15"/>
    </row>
    <row r="7" customFormat="false" ht="23.85" hidden="false" customHeight="false" outlineLevel="0" collapsed="false">
      <c r="A7" s="11" t="n">
        <v>6</v>
      </c>
      <c r="B7" s="12" t="s">
        <v>55</v>
      </c>
      <c r="C7" s="11" t="s">
        <v>69</v>
      </c>
      <c r="D7" s="12" t="s">
        <v>70</v>
      </c>
      <c r="E7" s="12" t="s">
        <v>71</v>
      </c>
      <c r="F7" s="12" t="s">
        <v>62</v>
      </c>
      <c r="G7" s="13" t="s">
        <v>52</v>
      </c>
      <c r="H7" s="12" t="s">
        <v>58</v>
      </c>
      <c r="I7" s="11" t="s">
        <v>54</v>
      </c>
      <c r="J7" s="11"/>
      <c r="K7" s="14"/>
      <c r="L7" s="14"/>
      <c r="M7" s="14"/>
      <c r="N7" s="14"/>
      <c r="O7" s="14"/>
      <c r="P7" s="14"/>
      <c r="Q7" s="15"/>
    </row>
    <row r="8" customFormat="false" ht="15" hidden="false" customHeight="false" outlineLevel="0" collapsed="false">
      <c r="A8" s="11" t="n">
        <v>7</v>
      </c>
      <c r="B8" s="12" t="s">
        <v>59</v>
      </c>
      <c r="C8" s="11" t="s">
        <v>72</v>
      </c>
      <c r="D8" s="12" t="s">
        <v>73</v>
      </c>
      <c r="E8" s="12" t="s">
        <v>74</v>
      </c>
      <c r="F8" s="12" t="s">
        <v>62</v>
      </c>
      <c r="G8" s="13" t="s">
        <v>52</v>
      </c>
      <c r="H8" s="12" t="s">
        <v>58</v>
      </c>
      <c r="I8" s="11" t="s">
        <v>54</v>
      </c>
      <c r="J8" s="11"/>
      <c r="K8" s="14"/>
      <c r="L8" s="14"/>
      <c r="M8" s="14"/>
      <c r="N8" s="14"/>
      <c r="O8" s="14"/>
      <c r="P8" s="14"/>
      <c r="Q8" s="15"/>
    </row>
    <row r="9" customFormat="false" ht="15" hidden="false" customHeight="false" outlineLevel="0" collapsed="false">
      <c r="A9" s="11" t="n">
        <v>8</v>
      </c>
      <c r="B9" s="12" t="s">
        <v>63</v>
      </c>
      <c r="C9" s="11" t="s">
        <v>75</v>
      </c>
      <c r="D9" s="12" t="s">
        <v>76</v>
      </c>
      <c r="E9" s="12" t="s">
        <v>66</v>
      </c>
      <c r="F9" s="12" t="s">
        <v>62</v>
      </c>
      <c r="G9" s="13" t="s">
        <v>52</v>
      </c>
      <c r="H9" s="12" t="s">
        <v>58</v>
      </c>
      <c r="I9" s="11" t="s">
        <v>54</v>
      </c>
      <c r="J9" s="11"/>
      <c r="K9" s="14"/>
      <c r="L9" s="14"/>
      <c r="M9" s="14"/>
      <c r="N9" s="14"/>
      <c r="O9" s="14"/>
      <c r="P9" s="14"/>
      <c r="Q9" s="15"/>
    </row>
    <row r="10" customFormat="false" ht="23.85" hidden="false" customHeight="false" outlineLevel="0" collapsed="false">
      <c r="A10" s="11" t="n">
        <v>9</v>
      </c>
      <c r="B10" s="12" t="s">
        <v>47</v>
      </c>
      <c r="C10" s="11" t="s">
        <v>77</v>
      </c>
      <c r="D10" s="12" t="s">
        <v>78</v>
      </c>
      <c r="E10" s="12" t="s">
        <v>50</v>
      </c>
      <c r="F10" s="12" t="s">
        <v>62</v>
      </c>
      <c r="G10" s="13" t="s">
        <v>52</v>
      </c>
      <c r="H10" s="12" t="s">
        <v>58</v>
      </c>
      <c r="I10" s="11" t="s">
        <v>54</v>
      </c>
      <c r="J10" s="11"/>
      <c r="K10" s="14"/>
      <c r="L10" s="14"/>
      <c r="M10" s="14"/>
      <c r="N10" s="14"/>
      <c r="O10" s="14"/>
      <c r="P10" s="14"/>
      <c r="Q10" s="15"/>
    </row>
    <row r="11" customFormat="false" ht="26.85" hidden="false" customHeight="false" outlineLevel="0" collapsed="false">
      <c r="A11" s="11" t="n">
        <v>10</v>
      </c>
      <c r="B11" s="12" t="s">
        <v>55</v>
      </c>
      <c r="C11" s="11" t="s">
        <v>79</v>
      </c>
      <c r="D11" s="12" t="s">
        <v>80</v>
      </c>
      <c r="E11" s="12" t="s">
        <v>81</v>
      </c>
      <c r="F11" s="12" t="s">
        <v>51</v>
      </c>
      <c r="G11" s="13" t="s">
        <v>52</v>
      </c>
      <c r="H11" s="12" t="s">
        <v>82</v>
      </c>
      <c r="I11" s="11" t="s">
        <v>54</v>
      </c>
      <c r="J11" s="11"/>
      <c r="K11" s="14"/>
      <c r="L11" s="14"/>
      <c r="M11" s="14"/>
      <c r="N11" s="14"/>
      <c r="O11" s="14"/>
      <c r="P11" s="14"/>
      <c r="Q11" s="15"/>
    </row>
    <row r="12" customFormat="false" ht="26.85" hidden="false" customHeight="false" outlineLevel="0" collapsed="false">
      <c r="A12" s="11" t="n">
        <v>11</v>
      </c>
      <c r="B12" s="12" t="s">
        <v>59</v>
      </c>
      <c r="C12" s="11" t="s">
        <v>83</v>
      </c>
      <c r="D12" s="12" t="s">
        <v>84</v>
      </c>
      <c r="E12" s="12" t="s">
        <v>85</v>
      </c>
      <c r="F12" s="12" t="s">
        <v>51</v>
      </c>
      <c r="G12" s="13" t="s">
        <v>52</v>
      </c>
      <c r="H12" s="12" t="s">
        <v>86</v>
      </c>
      <c r="I12" s="11" t="s">
        <v>54</v>
      </c>
      <c r="J12" s="11"/>
      <c r="K12" s="14"/>
      <c r="L12" s="14"/>
      <c r="M12" s="14"/>
      <c r="N12" s="14"/>
      <c r="O12" s="14"/>
      <c r="P12" s="14"/>
      <c r="Q12" s="15"/>
    </row>
    <row r="13" customFormat="false" ht="26.85" hidden="false" customHeight="false" outlineLevel="0" collapsed="false">
      <c r="A13" s="11" t="n">
        <v>12</v>
      </c>
      <c r="B13" s="12" t="s">
        <v>63</v>
      </c>
      <c r="C13" s="11" t="s">
        <v>87</v>
      </c>
      <c r="D13" s="12" t="s">
        <v>25</v>
      </c>
      <c r="E13" s="12" t="s">
        <v>88</v>
      </c>
      <c r="F13" s="12" t="s">
        <v>51</v>
      </c>
      <c r="G13" s="13" t="s">
        <v>52</v>
      </c>
      <c r="H13" s="12" t="s">
        <v>89</v>
      </c>
      <c r="I13" s="12" t="s">
        <v>27</v>
      </c>
      <c r="J13" s="12" t="s">
        <v>90</v>
      </c>
      <c r="K13" s="14"/>
      <c r="L13" s="14"/>
      <c r="M13" s="14"/>
      <c r="N13" s="14"/>
      <c r="O13" s="14"/>
      <c r="P13" s="14"/>
      <c r="Q13" s="15"/>
    </row>
    <row r="14" customFormat="false" ht="26.85" hidden="false" customHeight="false" outlineLevel="0" collapsed="false">
      <c r="A14" s="11" t="n">
        <v>13</v>
      </c>
      <c r="B14" s="12" t="s">
        <v>47</v>
      </c>
      <c r="C14" s="11" t="s">
        <v>91</v>
      </c>
      <c r="D14" s="11" t="s">
        <v>92</v>
      </c>
      <c r="E14" s="12" t="s">
        <v>93</v>
      </c>
      <c r="F14" s="12" t="s">
        <v>51</v>
      </c>
      <c r="G14" s="13" t="s">
        <v>52</v>
      </c>
      <c r="H14" s="12" t="s">
        <v>89</v>
      </c>
      <c r="I14" s="12" t="s">
        <v>94</v>
      </c>
      <c r="J14" s="12" t="s">
        <v>95</v>
      </c>
      <c r="K14" s="14"/>
      <c r="L14" s="14"/>
      <c r="M14" s="14"/>
      <c r="N14" s="14"/>
      <c r="O14" s="14"/>
      <c r="P14" s="14"/>
      <c r="Q14" s="15"/>
    </row>
    <row r="15" customFormat="false" ht="26.85" hidden="false" customHeight="false" outlineLevel="0" collapsed="false">
      <c r="A15" s="11" t="n">
        <v>14</v>
      </c>
      <c r="B15" s="12" t="s">
        <v>55</v>
      </c>
      <c r="C15" s="11" t="s">
        <v>96</v>
      </c>
      <c r="D15" s="12" t="s">
        <v>97</v>
      </c>
      <c r="E15" s="12" t="s">
        <v>98</v>
      </c>
      <c r="F15" s="12" t="s">
        <v>51</v>
      </c>
      <c r="G15" s="13" t="s">
        <v>52</v>
      </c>
      <c r="H15" s="12" t="s">
        <v>89</v>
      </c>
      <c r="I15" s="12" t="s">
        <v>94</v>
      </c>
      <c r="J15" s="12" t="s">
        <v>95</v>
      </c>
      <c r="K15" s="14"/>
      <c r="L15" s="14"/>
      <c r="M15" s="14"/>
      <c r="N15" s="14"/>
      <c r="O15" s="14"/>
      <c r="P15" s="14"/>
      <c r="Q15" s="15"/>
    </row>
    <row r="16" customFormat="false" ht="26.85" hidden="false" customHeight="false" outlineLevel="0" collapsed="false">
      <c r="A16" s="11" t="n">
        <v>15</v>
      </c>
      <c r="B16" s="12" t="s">
        <v>59</v>
      </c>
      <c r="C16" s="11" t="s">
        <v>99</v>
      </c>
      <c r="D16" s="12" t="s">
        <v>100</v>
      </c>
      <c r="E16" s="12" t="s">
        <v>101</v>
      </c>
      <c r="F16" s="12" t="s">
        <v>51</v>
      </c>
      <c r="G16" s="13" t="s">
        <v>52</v>
      </c>
      <c r="H16" s="12" t="s">
        <v>102</v>
      </c>
      <c r="I16" s="12" t="s">
        <v>103</v>
      </c>
      <c r="J16" s="12" t="s">
        <v>104</v>
      </c>
      <c r="K16" s="14"/>
      <c r="L16" s="14"/>
      <c r="M16" s="14"/>
      <c r="N16" s="14"/>
      <c r="O16" s="14"/>
      <c r="P16" s="14"/>
      <c r="Q16" s="15"/>
    </row>
    <row r="17" customFormat="false" ht="15" hidden="false" customHeight="false" outlineLevel="0" collapsed="false">
      <c r="A17" s="11" t="n">
        <v>16</v>
      </c>
      <c r="B17" s="12" t="s">
        <v>63</v>
      </c>
      <c r="C17" s="11" t="s">
        <v>105</v>
      </c>
      <c r="D17" s="12" t="s">
        <v>106</v>
      </c>
      <c r="E17" s="12" t="s">
        <v>107</v>
      </c>
      <c r="F17" s="12" t="s">
        <v>62</v>
      </c>
      <c r="G17" s="13" t="s">
        <v>52</v>
      </c>
      <c r="H17" s="12" t="s">
        <v>82</v>
      </c>
      <c r="I17" s="12" t="s">
        <v>108</v>
      </c>
      <c r="J17" s="12" t="s">
        <v>109</v>
      </c>
      <c r="K17" s="14"/>
      <c r="L17" s="14"/>
      <c r="M17" s="14"/>
      <c r="N17" s="14"/>
      <c r="O17" s="14"/>
      <c r="P17" s="14"/>
      <c r="Q17" s="15"/>
    </row>
    <row r="18" customFormat="false" ht="26.85" hidden="false" customHeight="false" outlineLevel="0" collapsed="false">
      <c r="A18" s="11" t="n">
        <v>17</v>
      </c>
      <c r="B18" s="12" t="s">
        <v>47</v>
      </c>
      <c r="C18" s="11" t="s">
        <v>110</v>
      </c>
      <c r="D18" s="12" t="s">
        <v>111</v>
      </c>
      <c r="E18" s="12" t="s">
        <v>112</v>
      </c>
      <c r="F18" s="12" t="s">
        <v>62</v>
      </c>
      <c r="G18" s="13" t="s">
        <v>52</v>
      </c>
      <c r="H18" s="12" t="s">
        <v>89</v>
      </c>
      <c r="I18" s="12" t="s">
        <v>113</v>
      </c>
      <c r="J18" s="12" t="s">
        <v>114</v>
      </c>
      <c r="K18" s="14"/>
      <c r="L18" s="14"/>
      <c r="M18" s="14"/>
      <c r="N18" s="14"/>
      <c r="O18" s="14"/>
      <c r="P18" s="14"/>
      <c r="Q18" s="15"/>
    </row>
    <row r="19" customFormat="false" ht="15" hidden="false" customHeight="false" outlineLevel="0" collapsed="false">
      <c r="A19" s="11" t="n">
        <v>18</v>
      </c>
      <c r="B19" s="12" t="s">
        <v>55</v>
      </c>
      <c r="C19" s="11" t="s">
        <v>115</v>
      </c>
      <c r="D19" s="11" t="s">
        <v>116</v>
      </c>
      <c r="E19" s="12" t="s">
        <v>117</v>
      </c>
      <c r="F19" s="12" t="s">
        <v>62</v>
      </c>
      <c r="G19" s="13" t="s">
        <v>52</v>
      </c>
      <c r="H19" s="12" t="s">
        <v>89</v>
      </c>
      <c r="I19" s="12" t="s">
        <v>94</v>
      </c>
      <c r="J19" s="12" t="s">
        <v>118</v>
      </c>
      <c r="K19" s="14"/>
      <c r="L19" s="14"/>
      <c r="M19" s="14"/>
      <c r="N19" s="14"/>
      <c r="O19" s="14"/>
      <c r="P19" s="14"/>
      <c r="Q19" s="15"/>
    </row>
    <row r="20" customFormat="false" ht="15" hidden="false" customHeight="false" outlineLevel="0" collapsed="false">
      <c r="A20" s="11" t="n">
        <v>19</v>
      </c>
      <c r="B20" s="12" t="s">
        <v>59</v>
      </c>
      <c r="C20" s="11" t="s">
        <v>119</v>
      </c>
      <c r="D20" s="12" t="s">
        <v>120</v>
      </c>
      <c r="E20" s="11" t="s">
        <v>121</v>
      </c>
      <c r="F20" s="12" t="s">
        <v>62</v>
      </c>
      <c r="G20" s="13" t="s">
        <v>52</v>
      </c>
      <c r="H20" s="12" t="s">
        <v>102</v>
      </c>
      <c r="I20" s="12" t="s">
        <v>103</v>
      </c>
      <c r="J20" s="12" t="s">
        <v>122</v>
      </c>
      <c r="K20" s="14"/>
      <c r="L20" s="14"/>
      <c r="M20" s="14"/>
      <c r="N20" s="14"/>
      <c r="O20" s="14"/>
      <c r="P20" s="14"/>
      <c r="Q20" s="15"/>
    </row>
    <row r="21" customFormat="false" ht="26.85" hidden="false" customHeight="false" outlineLevel="0" collapsed="false">
      <c r="A21" s="11" t="n">
        <v>20</v>
      </c>
      <c r="B21" s="12" t="s">
        <v>63</v>
      </c>
      <c r="C21" s="11" t="s">
        <v>123</v>
      </c>
      <c r="D21" s="12" t="s">
        <v>124</v>
      </c>
      <c r="E21" s="12" t="s">
        <v>125</v>
      </c>
      <c r="F21" s="12" t="s">
        <v>62</v>
      </c>
      <c r="G21" s="13" t="s">
        <v>52</v>
      </c>
      <c r="H21" s="12" t="s">
        <v>58</v>
      </c>
      <c r="I21" s="11" t="s">
        <v>54</v>
      </c>
      <c r="J21" s="11"/>
      <c r="K21" s="14"/>
      <c r="L21" s="14"/>
      <c r="M21" s="14"/>
      <c r="N21" s="14"/>
      <c r="O21" s="14"/>
      <c r="P21" s="14"/>
      <c r="Q21" s="15"/>
    </row>
    <row r="22" customFormat="false" ht="26.85" hidden="false" customHeight="false" outlineLevel="0" collapsed="false">
      <c r="A22" s="11" t="n">
        <v>21</v>
      </c>
      <c r="B22" s="12" t="s">
        <v>47</v>
      </c>
      <c r="C22" s="11" t="s">
        <v>126</v>
      </c>
      <c r="D22" s="12" t="s">
        <v>127</v>
      </c>
      <c r="E22" s="12" t="s">
        <v>128</v>
      </c>
      <c r="F22" s="12" t="s">
        <v>128</v>
      </c>
      <c r="G22" s="13" t="s">
        <v>52</v>
      </c>
      <c r="H22" s="12" t="s">
        <v>58</v>
      </c>
      <c r="I22" s="11" t="s">
        <v>54</v>
      </c>
      <c r="J22" s="11"/>
      <c r="K22" s="14"/>
      <c r="L22" s="14"/>
      <c r="M22" s="14"/>
      <c r="N22" s="14"/>
      <c r="O22" s="14"/>
      <c r="P22" s="14"/>
      <c r="Q22" s="15"/>
    </row>
    <row r="23" customFormat="false" ht="26.85" hidden="false" customHeight="false" outlineLevel="0" collapsed="false">
      <c r="A23" s="11" t="n">
        <v>22</v>
      </c>
      <c r="B23" s="12" t="s">
        <v>55</v>
      </c>
      <c r="C23" s="11" t="s">
        <v>129</v>
      </c>
      <c r="D23" s="12" t="s">
        <v>130</v>
      </c>
      <c r="E23" s="12" t="s">
        <v>128</v>
      </c>
      <c r="F23" s="12" t="s">
        <v>128</v>
      </c>
      <c r="G23" s="13" t="s">
        <v>52</v>
      </c>
      <c r="H23" s="12" t="s">
        <v>58</v>
      </c>
      <c r="I23" s="11" t="s">
        <v>54</v>
      </c>
      <c r="J23" s="11"/>
      <c r="K23" s="14"/>
      <c r="L23" s="14"/>
      <c r="M23" s="14"/>
      <c r="N23" s="14"/>
      <c r="O23" s="14"/>
      <c r="P23" s="14"/>
      <c r="Q23" s="15"/>
    </row>
    <row r="24" customFormat="false" ht="26.85" hidden="false" customHeight="false" outlineLevel="0" collapsed="false">
      <c r="A24" s="11" t="n">
        <v>23</v>
      </c>
      <c r="B24" s="12" t="s">
        <v>59</v>
      </c>
      <c r="C24" s="11" t="s">
        <v>131</v>
      </c>
      <c r="D24" s="12" t="s">
        <v>132</v>
      </c>
      <c r="E24" s="12" t="s">
        <v>128</v>
      </c>
      <c r="F24" s="12" t="s">
        <v>128</v>
      </c>
      <c r="G24" s="13" t="s">
        <v>52</v>
      </c>
      <c r="H24" s="12" t="s">
        <v>58</v>
      </c>
      <c r="I24" s="11" t="s">
        <v>54</v>
      </c>
      <c r="J24" s="11"/>
      <c r="K24" s="14"/>
      <c r="L24" s="14"/>
      <c r="M24" s="14"/>
      <c r="N24" s="14"/>
      <c r="O24" s="14"/>
      <c r="P24" s="14"/>
      <c r="Q24" s="15"/>
    </row>
    <row r="25" customFormat="false" ht="26.85" hidden="false" customHeight="false" outlineLevel="0" collapsed="false">
      <c r="A25" s="11" t="n">
        <v>24</v>
      </c>
      <c r="B25" s="12" t="s">
        <v>63</v>
      </c>
      <c r="C25" s="11" t="s">
        <v>133</v>
      </c>
      <c r="D25" s="12" t="s">
        <v>134</v>
      </c>
      <c r="E25" s="12" t="s">
        <v>128</v>
      </c>
      <c r="F25" s="12" t="s">
        <v>128</v>
      </c>
      <c r="G25" s="13" t="s">
        <v>52</v>
      </c>
      <c r="H25" s="12" t="s">
        <v>102</v>
      </c>
      <c r="I25" s="11" t="s">
        <v>54</v>
      </c>
      <c r="J25" s="11"/>
      <c r="K25" s="14"/>
      <c r="L25" s="14"/>
      <c r="M25" s="14"/>
      <c r="N25" s="14"/>
      <c r="O25" s="14"/>
      <c r="P25" s="14"/>
      <c r="Q25" s="15"/>
    </row>
    <row r="26" customFormat="false" ht="26.85" hidden="false" customHeight="false" outlineLevel="0" collapsed="false">
      <c r="A26" s="11" t="n">
        <v>25</v>
      </c>
      <c r="B26" s="12" t="s">
        <v>47</v>
      </c>
      <c r="C26" s="11" t="s">
        <v>135</v>
      </c>
      <c r="D26" s="12" t="s">
        <v>136</v>
      </c>
      <c r="E26" s="12" t="s">
        <v>128</v>
      </c>
      <c r="F26" s="12" t="s">
        <v>128</v>
      </c>
      <c r="G26" s="13" t="s">
        <v>52</v>
      </c>
      <c r="H26" s="12" t="s">
        <v>58</v>
      </c>
      <c r="I26" s="11" t="s">
        <v>54</v>
      </c>
      <c r="J26" s="11"/>
      <c r="K26" s="14"/>
      <c r="L26" s="14"/>
      <c r="M26" s="14"/>
      <c r="N26" s="14"/>
      <c r="O26" s="14"/>
      <c r="P26" s="14"/>
      <c r="Q26" s="15"/>
    </row>
    <row r="27" customFormat="false" ht="25.35" hidden="false" customHeight="false" outlineLevel="0" collapsed="false">
      <c r="A27" s="11" t="n">
        <v>26</v>
      </c>
      <c r="B27" s="12" t="s">
        <v>55</v>
      </c>
      <c r="C27" s="11" t="s">
        <v>137</v>
      </c>
      <c r="D27" s="11" t="s">
        <v>138</v>
      </c>
      <c r="E27" s="12" t="s">
        <v>139</v>
      </c>
      <c r="F27" s="12" t="s">
        <v>140</v>
      </c>
      <c r="G27" s="13" t="s">
        <v>52</v>
      </c>
      <c r="H27" s="12" t="s">
        <v>89</v>
      </c>
      <c r="I27" s="12" t="s">
        <v>94</v>
      </c>
      <c r="J27" s="12" t="s">
        <v>95</v>
      </c>
      <c r="K27" s="14"/>
      <c r="L27" s="14"/>
      <c r="M27" s="14"/>
      <c r="N27" s="14"/>
      <c r="O27" s="14"/>
      <c r="P27" s="14"/>
      <c r="Q27" s="15"/>
    </row>
    <row r="28" customFormat="false" ht="25.35" hidden="false" customHeight="false" outlineLevel="0" collapsed="false">
      <c r="A28" s="11" t="n">
        <v>27</v>
      </c>
      <c r="B28" s="12" t="s">
        <v>59</v>
      </c>
      <c r="C28" s="11" t="s">
        <v>141</v>
      </c>
      <c r="D28" s="12" t="s">
        <v>142</v>
      </c>
      <c r="E28" s="12" t="s">
        <v>139</v>
      </c>
      <c r="F28" s="12" t="s">
        <v>140</v>
      </c>
      <c r="G28" s="13" t="s">
        <v>52</v>
      </c>
      <c r="H28" s="12" t="s">
        <v>89</v>
      </c>
      <c r="I28" s="12" t="s">
        <v>94</v>
      </c>
      <c r="J28" s="12" t="s">
        <v>118</v>
      </c>
      <c r="K28" s="14"/>
      <c r="L28" s="14"/>
      <c r="M28" s="14"/>
      <c r="N28" s="14"/>
      <c r="O28" s="14"/>
      <c r="P28" s="14"/>
      <c r="Q28" s="15"/>
    </row>
    <row r="29" customFormat="false" ht="25.35" hidden="false" customHeight="false" outlineLevel="0" collapsed="false">
      <c r="A29" s="11" t="n">
        <v>28</v>
      </c>
      <c r="B29" s="12" t="s">
        <v>63</v>
      </c>
      <c r="C29" s="11" t="s">
        <v>143</v>
      </c>
      <c r="D29" s="12" t="s">
        <v>144</v>
      </c>
      <c r="E29" s="12" t="s">
        <v>139</v>
      </c>
      <c r="F29" s="12" t="s">
        <v>140</v>
      </c>
      <c r="G29" s="13" t="s">
        <v>52</v>
      </c>
      <c r="H29" s="12" t="s">
        <v>82</v>
      </c>
      <c r="I29" s="12" t="s">
        <v>94</v>
      </c>
      <c r="J29" s="12" t="s">
        <v>118</v>
      </c>
      <c r="K29" s="14"/>
      <c r="L29" s="14"/>
      <c r="M29" s="14"/>
      <c r="N29" s="14"/>
      <c r="O29" s="14"/>
      <c r="P29" s="14"/>
      <c r="Q29" s="15"/>
    </row>
    <row r="30" customFormat="false" ht="25.35" hidden="false" customHeight="false" outlineLevel="0" collapsed="false">
      <c r="A30" s="11" t="n">
        <v>29</v>
      </c>
      <c r="B30" s="12" t="s">
        <v>47</v>
      </c>
      <c r="C30" s="11" t="s">
        <v>145</v>
      </c>
      <c r="D30" s="12" t="s">
        <v>146</v>
      </c>
      <c r="E30" s="12" t="s">
        <v>139</v>
      </c>
      <c r="F30" s="12" t="s">
        <v>140</v>
      </c>
      <c r="G30" s="13" t="s">
        <v>52</v>
      </c>
      <c r="H30" s="12" t="s">
        <v>82</v>
      </c>
      <c r="I30" s="12" t="s">
        <v>94</v>
      </c>
      <c r="J30" s="12" t="s">
        <v>118</v>
      </c>
      <c r="K30" s="14"/>
      <c r="L30" s="14"/>
      <c r="M30" s="14"/>
      <c r="N30" s="14"/>
      <c r="O30" s="14"/>
      <c r="P30" s="14"/>
      <c r="Q30" s="15"/>
    </row>
    <row r="31" customFormat="false" ht="25.35" hidden="false" customHeight="false" outlineLevel="0" collapsed="false">
      <c r="A31" s="11" t="n">
        <v>30</v>
      </c>
      <c r="B31" s="12" t="s">
        <v>55</v>
      </c>
      <c r="C31" s="11" t="s">
        <v>147</v>
      </c>
      <c r="D31" s="12" t="s">
        <v>148</v>
      </c>
      <c r="E31" s="12" t="s">
        <v>139</v>
      </c>
      <c r="F31" s="12" t="s">
        <v>140</v>
      </c>
      <c r="G31" s="13" t="s">
        <v>52</v>
      </c>
      <c r="H31" s="12" t="s">
        <v>89</v>
      </c>
      <c r="I31" s="12" t="s">
        <v>94</v>
      </c>
      <c r="J31" s="12" t="s">
        <v>118</v>
      </c>
      <c r="K31" s="14"/>
      <c r="L31" s="14"/>
      <c r="M31" s="14"/>
      <c r="N31" s="14"/>
      <c r="O31" s="14"/>
      <c r="P31" s="14"/>
      <c r="Q31" s="15"/>
    </row>
    <row r="32" customFormat="false" ht="25.35" hidden="false" customHeight="false" outlineLevel="0" collapsed="false">
      <c r="A32" s="11" t="n">
        <v>31</v>
      </c>
      <c r="B32" s="12" t="s">
        <v>59</v>
      </c>
      <c r="C32" s="11" t="s">
        <v>149</v>
      </c>
      <c r="D32" s="11" t="s">
        <v>150</v>
      </c>
      <c r="E32" s="12" t="s">
        <v>139</v>
      </c>
      <c r="F32" s="12" t="s">
        <v>140</v>
      </c>
      <c r="G32" s="13" t="s">
        <v>52</v>
      </c>
      <c r="H32" s="12" t="s">
        <v>58</v>
      </c>
      <c r="I32" s="11" t="s">
        <v>54</v>
      </c>
      <c r="J32" s="11"/>
      <c r="K32" s="14"/>
      <c r="L32" s="14"/>
      <c r="M32" s="14"/>
      <c r="N32" s="14"/>
      <c r="O32" s="14"/>
      <c r="P32" s="14"/>
      <c r="Q32" s="15"/>
    </row>
    <row r="33" customFormat="false" ht="26.85" hidden="false" customHeight="false" outlineLevel="0" collapsed="false">
      <c r="A33" s="11" t="n">
        <v>32</v>
      </c>
      <c r="B33" s="12" t="s">
        <v>63</v>
      </c>
      <c r="C33" s="11" t="s">
        <v>151</v>
      </c>
      <c r="D33" s="11" t="s">
        <v>152</v>
      </c>
      <c r="E33" s="12" t="s">
        <v>153</v>
      </c>
      <c r="F33" s="12" t="s">
        <v>140</v>
      </c>
      <c r="G33" s="13" t="s">
        <v>52</v>
      </c>
      <c r="H33" s="12" t="s">
        <v>58</v>
      </c>
      <c r="I33" s="11" t="s">
        <v>54</v>
      </c>
      <c r="J33" s="11"/>
      <c r="K33" s="14"/>
      <c r="L33" s="14"/>
      <c r="M33" s="14"/>
      <c r="N33" s="14"/>
      <c r="O33" s="14"/>
      <c r="P33" s="14"/>
      <c r="Q33" s="15"/>
    </row>
    <row r="34" customFormat="false" ht="25.35" hidden="false" customHeight="false" outlineLevel="0" collapsed="false">
      <c r="A34" s="11" t="n">
        <v>33</v>
      </c>
      <c r="B34" s="12" t="s">
        <v>47</v>
      </c>
      <c r="C34" s="11" t="s">
        <v>154</v>
      </c>
      <c r="D34" s="12" t="s">
        <v>155</v>
      </c>
      <c r="E34" s="12" t="s">
        <v>139</v>
      </c>
      <c r="F34" s="12" t="s">
        <v>140</v>
      </c>
      <c r="G34" s="13" t="s">
        <v>52</v>
      </c>
      <c r="H34" s="12" t="s">
        <v>58</v>
      </c>
      <c r="I34" s="11" t="s">
        <v>54</v>
      </c>
      <c r="J34" s="11"/>
      <c r="K34" s="14"/>
      <c r="L34" s="14"/>
      <c r="M34" s="14"/>
      <c r="N34" s="14"/>
      <c r="O34" s="14"/>
      <c r="P34" s="14"/>
      <c r="Q34" s="15"/>
    </row>
    <row r="35" customFormat="false" ht="26.85" hidden="false" customHeight="false" outlineLevel="0" collapsed="false">
      <c r="A35" s="11" t="n">
        <v>34</v>
      </c>
      <c r="B35" s="12" t="s">
        <v>55</v>
      </c>
      <c r="C35" s="11" t="s">
        <v>156</v>
      </c>
      <c r="D35" s="11" t="s">
        <v>157</v>
      </c>
      <c r="E35" s="12" t="s">
        <v>153</v>
      </c>
      <c r="F35" s="12" t="s">
        <v>140</v>
      </c>
      <c r="G35" s="13" t="s">
        <v>52</v>
      </c>
      <c r="H35" s="12" t="s">
        <v>53</v>
      </c>
      <c r="I35" s="11" t="s">
        <v>54</v>
      </c>
      <c r="J35" s="11"/>
      <c r="K35" s="14"/>
      <c r="L35" s="14"/>
      <c r="M35" s="14"/>
      <c r="N35" s="14"/>
      <c r="O35" s="14"/>
      <c r="P35" s="14"/>
      <c r="Q35" s="15"/>
    </row>
    <row r="36" customFormat="false" ht="26.85" hidden="false" customHeight="false" outlineLevel="0" collapsed="false">
      <c r="A36" s="11" t="n">
        <v>35</v>
      </c>
      <c r="B36" s="12" t="s">
        <v>59</v>
      </c>
      <c r="C36" s="11" t="s">
        <v>158</v>
      </c>
      <c r="D36" s="11" t="s">
        <v>159</v>
      </c>
      <c r="E36" s="12" t="s">
        <v>139</v>
      </c>
      <c r="F36" s="12" t="s">
        <v>140</v>
      </c>
      <c r="G36" s="13" t="s">
        <v>52</v>
      </c>
      <c r="H36" s="12" t="s">
        <v>58</v>
      </c>
      <c r="I36" s="11" t="s">
        <v>54</v>
      </c>
      <c r="J36" s="11"/>
      <c r="K36" s="14"/>
      <c r="L36" s="14"/>
      <c r="M36" s="14"/>
      <c r="N36" s="14"/>
      <c r="O36" s="14"/>
      <c r="P36" s="14"/>
      <c r="Q36" s="15"/>
    </row>
    <row r="37" customFormat="false" ht="25.35" hidden="false" customHeight="false" outlineLevel="0" collapsed="false">
      <c r="A37" s="11" t="n">
        <v>36</v>
      </c>
      <c r="B37" s="12" t="s">
        <v>63</v>
      </c>
      <c r="C37" s="11" t="s">
        <v>160</v>
      </c>
      <c r="D37" s="12" t="s">
        <v>161</v>
      </c>
      <c r="E37" s="12" t="s">
        <v>139</v>
      </c>
      <c r="F37" s="12" t="s">
        <v>140</v>
      </c>
      <c r="G37" s="13" t="s">
        <v>52</v>
      </c>
      <c r="H37" s="12" t="s">
        <v>82</v>
      </c>
      <c r="I37" s="12" t="s">
        <v>108</v>
      </c>
      <c r="J37" s="12" t="s">
        <v>162</v>
      </c>
      <c r="K37" s="14"/>
      <c r="L37" s="14"/>
      <c r="M37" s="14"/>
      <c r="N37" s="14"/>
      <c r="O37" s="14"/>
      <c r="P37" s="14"/>
      <c r="Q37" s="15"/>
    </row>
    <row r="38" customFormat="false" ht="25.35" hidden="false" customHeight="false" outlineLevel="0" collapsed="false">
      <c r="A38" s="11" t="n">
        <v>37</v>
      </c>
      <c r="B38" s="12" t="s">
        <v>47</v>
      </c>
      <c r="C38" s="11" t="s">
        <v>163</v>
      </c>
      <c r="D38" s="12" t="s">
        <v>164</v>
      </c>
      <c r="E38" s="12" t="s">
        <v>139</v>
      </c>
      <c r="F38" s="12" t="s">
        <v>140</v>
      </c>
      <c r="G38" s="13" t="s">
        <v>52</v>
      </c>
      <c r="H38" s="12" t="s">
        <v>89</v>
      </c>
      <c r="I38" s="12" t="s">
        <v>94</v>
      </c>
      <c r="J38" s="12" t="s">
        <v>118</v>
      </c>
      <c r="K38" s="14"/>
      <c r="L38" s="14"/>
      <c r="M38" s="14"/>
      <c r="N38" s="14"/>
      <c r="O38" s="14"/>
      <c r="P38" s="14"/>
      <c r="Q38" s="15"/>
    </row>
    <row r="39" customFormat="false" ht="25.35" hidden="false" customHeight="false" outlineLevel="0" collapsed="false">
      <c r="A39" s="11" t="n">
        <v>38</v>
      </c>
      <c r="B39" s="12" t="s">
        <v>55</v>
      </c>
      <c r="C39" s="11" t="s">
        <v>165</v>
      </c>
      <c r="D39" s="11" t="s">
        <v>166</v>
      </c>
      <c r="E39" s="12" t="s">
        <v>139</v>
      </c>
      <c r="F39" s="12" t="s">
        <v>140</v>
      </c>
      <c r="G39" s="13" t="s">
        <v>52</v>
      </c>
      <c r="H39" s="12" t="s">
        <v>82</v>
      </c>
      <c r="I39" s="12" t="s">
        <v>167</v>
      </c>
      <c r="J39" s="12" t="s">
        <v>168</v>
      </c>
      <c r="K39" s="14"/>
      <c r="L39" s="14"/>
      <c r="M39" s="14"/>
      <c r="N39" s="14"/>
      <c r="O39" s="14"/>
      <c r="P39" s="14"/>
      <c r="Q39" s="15"/>
    </row>
    <row r="40" customFormat="false" ht="26.85" hidden="false" customHeight="false" outlineLevel="0" collapsed="false">
      <c r="A40" s="11" t="n">
        <v>39</v>
      </c>
      <c r="B40" s="12" t="s">
        <v>59</v>
      </c>
      <c r="C40" s="11" t="s">
        <v>169</v>
      </c>
      <c r="D40" s="11" t="s">
        <v>170</v>
      </c>
      <c r="E40" s="12" t="s">
        <v>153</v>
      </c>
      <c r="F40" s="12" t="s">
        <v>140</v>
      </c>
      <c r="G40" s="13" t="s">
        <v>52</v>
      </c>
      <c r="H40" s="12" t="s">
        <v>82</v>
      </c>
      <c r="I40" s="12" t="s">
        <v>108</v>
      </c>
      <c r="J40" s="12" t="s">
        <v>109</v>
      </c>
      <c r="K40" s="14"/>
      <c r="L40" s="14"/>
      <c r="M40" s="14"/>
      <c r="N40" s="14"/>
      <c r="O40" s="14"/>
      <c r="P40" s="14"/>
      <c r="Q40" s="15"/>
    </row>
    <row r="41" customFormat="false" ht="26.85" hidden="false" customHeight="false" outlineLevel="0" collapsed="false">
      <c r="A41" s="11" t="n">
        <v>40</v>
      </c>
      <c r="B41" s="12" t="s">
        <v>63</v>
      </c>
      <c r="C41" s="11" t="s">
        <v>171</v>
      </c>
      <c r="D41" s="12" t="s">
        <v>172</v>
      </c>
      <c r="E41" s="12" t="s">
        <v>153</v>
      </c>
      <c r="F41" s="12" t="s">
        <v>140</v>
      </c>
      <c r="G41" s="13" t="s">
        <v>52</v>
      </c>
      <c r="H41" s="12" t="s">
        <v>89</v>
      </c>
      <c r="I41" s="12" t="s">
        <v>94</v>
      </c>
      <c r="J41" s="12" t="s">
        <v>118</v>
      </c>
      <c r="K41" s="14"/>
      <c r="L41" s="14"/>
      <c r="M41" s="14"/>
      <c r="N41" s="14"/>
      <c r="O41" s="14"/>
      <c r="P41" s="14"/>
      <c r="Q41" s="15"/>
    </row>
    <row r="42" customFormat="false" ht="25.35" hidden="false" customHeight="false" outlineLevel="0" collapsed="false">
      <c r="A42" s="11" t="n">
        <v>41</v>
      </c>
      <c r="B42" s="12" t="s">
        <v>47</v>
      </c>
      <c r="C42" s="11" t="s">
        <v>173</v>
      </c>
      <c r="D42" s="12" t="s">
        <v>174</v>
      </c>
      <c r="E42" s="12" t="s">
        <v>139</v>
      </c>
      <c r="F42" s="12" t="s">
        <v>140</v>
      </c>
      <c r="G42" s="13" t="s">
        <v>52</v>
      </c>
      <c r="H42" s="12" t="s">
        <v>82</v>
      </c>
      <c r="I42" s="12" t="s">
        <v>167</v>
      </c>
      <c r="J42" s="12" t="s">
        <v>175</v>
      </c>
      <c r="K42" s="14"/>
      <c r="L42" s="14"/>
      <c r="M42" s="14"/>
      <c r="N42" s="14"/>
      <c r="O42" s="14"/>
      <c r="P42" s="14"/>
      <c r="Q42" s="15"/>
    </row>
    <row r="43" customFormat="false" ht="15" hidden="false" customHeight="false" outlineLevel="0" collapsed="false">
      <c r="A43" s="11" t="n">
        <v>42</v>
      </c>
      <c r="B43" s="12" t="s">
        <v>55</v>
      </c>
      <c r="C43" s="11" t="s">
        <v>176</v>
      </c>
      <c r="D43" s="12" t="s">
        <v>177</v>
      </c>
      <c r="E43" s="12" t="s">
        <v>74</v>
      </c>
      <c r="F43" s="12" t="s">
        <v>74</v>
      </c>
      <c r="G43" s="13" t="s">
        <v>52</v>
      </c>
      <c r="H43" s="12" t="s">
        <v>82</v>
      </c>
      <c r="I43" s="12" t="s">
        <v>167</v>
      </c>
      <c r="J43" s="12" t="s">
        <v>178</v>
      </c>
      <c r="K43" s="14"/>
      <c r="L43" s="14"/>
      <c r="M43" s="14"/>
      <c r="N43" s="14"/>
      <c r="O43" s="14"/>
      <c r="P43" s="14"/>
      <c r="Q43" s="15"/>
    </row>
    <row r="44" customFormat="false" ht="26.85" hidden="false" customHeight="false" outlineLevel="0" collapsed="false">
      <c r="A44" s="11" t="n">
        <v>43</v>
      </c>
      <c r="B44" s="12" t="s">
        <v>59</v>
      </c>
      <c r="C44" s="11" t="s">
        <v>179</v>
      </c>
      <c r="D44" s="11" t="s">
        <v>180</v>
      </c>
      <c r="E44" s="12" t="s">
        <v>74</v>
      </c>
      <c r="F44" s="12" t="s">
        <v>74</v>
      </c>
      <c r="G44" s="13" t="s">
        <v>52</v>
      </c>
      <c r="H44" s="12" t="s">
        <v>58</v>
      </c>
      <c r="I44" s="11" t="s">
        <v>54</v>
      </c>
      <c r="J44" s="11"/>
      <c r="K44" s="14"/>
      <c r="L44" s="14"/>
      <c r="M44" s="14"/>
      <c r="N44" s="14"/>
      <c r="O44" s="14"/>
      <c r="P44" s="14"/>
      <c r="Q44" s="15"/>
    </row>
    <row r="45" customFormat="false" ht="15" hidden="false" customHeight="false" outlineLevel="0" collapsed="false">
      <c r="A45" s="11" t="n">
        <v>44</v>
      </c>
      <c r="B45" s="12" t="s">
        <v>63</v>
      </c>
      <c r="C45" s="11" t="s">
        <v>181</v>
      </c>
      <c r="D45" s="12" t="s">
        <v>182</v>
      </c>
      <c r="E45" s="12" t="s">
        <v>74</v>
      </c>
      <c r="F45" s="12" t="s">
        <v>74</v>
      </c>
      <c r="G45" s="13" t="s">
        <v>52</v>
      </c>
      <c r="H45" s="12" t="s">
        <v>89</v>
      </c>
      <c r="I45" s="12" t="s">
        <v>94</v>
      </c>
      <c r="J45" s="12" t="s">
        <v>118</v>
      </c>
      <c r="K45" s="14"/>
      <c r="L45" s="14"/>
      <c r="M45" s="14"/>
      <c r="N45" s="14"/>
      <c r="O45" s="14"/>
      <c r="P45" s="14"/>
      <c r="Q45" s="15"/>
    </row>
    <row r="46" customFormat="false" ht="15" hidden="false" customHeight="false" outlineLevel="0" collapsed="false">
      <c r="A46" s="11" t="n">
        <v>45</v>
      </c>
      <c r="B46" s="12" t="s">
        <v>47</v>
      </c>
      <c r="C46" s="11" t="s">
        <v>183</v>
      </c>
      <c r="D46" s="11" t="s">
        <v>184</v>
      </c>
      <c r="E46" s="12" t="s">
        <v>74</v>
      </c>
      <c r="F46" s="12" t="s">
        <v>74</v>
      </c>
      <c r="G46" s="13" t="s">
        <v>52</v>
      </c>
      <c r="H46" s="12" t="s">
        <v>58</v>
      </c>
      <c r="I46" s="11" t="s">
        <v>54</v>
      </c>
      <c r="J46" s="11"/>
      <c r="K46" s="14"/>
      <c r="L46" s="14"/>
      <c r="M46" s="14"/>
      <c r="N46" s="14"/>
      <c r="O46" s="14"/>
      <c r="P46" s="14"/>
      <c r="Q46" s="15"/>
    </row>
    <row r="47" customFormat="false" ht="15" hidden="false" customHeight="false" outlineLevel="0" collapsed="false">
      <c r="A47" s="11" t="n">
        <v>46</v>
      </c>
      <c r="B47" s="12" t="s">
        <v>55</v>
      </c>
      <c r="C47" s="11" t="s">
        <v>185</v>
      </c>
      <c r="D47" s="11" t="s">
        <v>186</v>
      </c>
      <c r="E47" s="12" t="s">
        <v>74</v>
      </c>
      <c r="F47" s="12" t="s">
        <v>74</v>
      </c>
      <c r="G47" s="13" t="s">
        <v>52</v>
      </c>
      <c r="H47" s="12" t="s">
        <v>58</v>
      </c>
      <c r="I47" s="11" t="s">
        <v>54</v>
      </c>
      <c r="J47" s="11"/>
      <c r="K47" s="14"/>
      <c r="L47" s="14"/>
      <c r="M47" s="14"/>
      <c r="N47" s="14"/>
      <c r="O47" s="14"/>
      <c r="P47" s="14"/>
      <c r="Q47" s="15"/>
    </row>
    <row r="48" customFormat="false" ht="15" hidden="false" customHeight="false" outlineLevel="0" collapsed="false">
      <c r="A48" s="11" t="n">
        <v>47</v>
      </c>
      <c r="B48" s="12" t="s">
        <v>59</v>
      </c>
      <c r="C48" s="11" t="s">
        <v>187</v>
      </c>
      <c r="D48" s="11" t="s">
        <v>188</v>
      </c>
      <c r="E48" s="12" t="s">
        <v>74</v>
      </c>
      <c r="F48" s="12" t="s">
        <v>74</v>
      </c>
      <c r="G48" s="13" t="s">
        <v>52</v>
      </c>
      <c r="H48" s="12" t="s">
        <v>58</v>
      </c>
      <c r="I48" s="11" t="s">
        <v>54</v>
      </c>
      <c r="J48" s="11"/>
      <c r="K48" s="14"/>
      <c r="L48" s="14"/>
      <c r="M48" s="14"/>
      <c r="N48" s="14"/>
      <c r="O48" s="14"/>
      <c r="P48" s="14"/>
      <c r="Q48" s="15"/>
    </row>
    <row r="49" customFormat="false" ht="15" hidden="false" customHeight="false" outlineLevel="0" collapsed="false">
      <c r="A49" s="11" t="n">
        <v>48</v>
      </c>
      <c r="B49" s="12" t="s">
        <v>63</v>
      </c>
      <c r="C49" s="11" t="s">
        <v>189</v>
      </c>
      <c r="D49" s="11" t="s">
        <v>190</v>
      </c>
      <c r="E49" s="12" t="s">
        <v>74</v>
      </c>
      <c r="F49" s="12" t="s">
        <v>74</v>
      </c>
      <c r="G49" s="13" t="s">
        <v>52</v>
      </c>
      <c r="H49" s="12" t="s">
        <v>102</v>
      </c>
      <c r="I49" s="12" t="s">
        <v>103</v>
      </c>
      <c r="J49" s="12" t="s">
        <v>191</v>
      </c>
      <c r="K49" s="14"/>
      <c r="L49" s="14"/>
      <c r="M49" s="14"/>
      <c r="N49" s="14"/>
      <c r="O49" s="14"/>
      <c r="P49" s="14"/>
      <c r="Q49" s="15"/>
    </row>
    <row r="50" customFormat="false" ht="15" hidden="false" customHeight="false" outlineLevel="0" collapsed="false">
      <c r="A50" s="11" t="n">
        <v>49</v>
      </c>
      <c r="B50" s="12" t="s">
        <v>47</v>
      </c>
      <c r="C50" s="11" t="s">
        <v>192</v>
      </c>
      <c r="D50" s="11" t="s">
        <v>193</v>
      </c>
      <c r="E50" s="12" t="s">
        <v>74</v>
      </c>
      <c r="F50" s="12" t="s">
        <v>74</v>
      </c>
      <c r="G50" s="13" t="s">
        <v>52</v>
      </c>
      <c r="H50" s="12" t="s">
        <v>82</v>
      </c>
      <c r="I50" s="12" t="s">
        <v>167</v>
      </c>
      <c r="J50" s="12" t="s">
        <v>178</v>
      </c>
      <c r="K50" s="14"/>
      <c r="L50" s="14"/>
      <c r="M50" s="14"/>
      <c r="N50" s="14"/>
      <c r="O50" s="14"/>
      <c r="P50" s="14"/>
      <c r="Q50" s="15"/>
    </row>
    <row r="51" customFormat="false" ht="15" hidden="false" customHeight="false" outlineLevel="0" collapsed="false">
      <c r="A51" s="11" t="n">
        <v>50</v>
      </c>
      <c r="B51" s="12" t="s">
        <v>55</v>
      </c>
      <c r="C51" s="11" t="s">
        <v>194</v>
      </c>
      <c r="D51" s="12" t="s">
        <v>195</v>
      </c>
      <c r="E51" s="12" t="s">
        <v>74</v>
      </c>
      <c r="F51" s="12" t="s">
        <v>74</v>
      </c>
      <c r="G51" s="13" t="s">
        <v>52</v>
      </c>
      <c r="H51" s="12" t="s">
        <v>58</v>
      </c>
      <c r="I51" s="11" t="s">
        <v>54</v>
      </c>
      <c r="J51" s="11"/>
      <c r="K51" s="14"/>
      <c r="L51" s="14"/>
      <c r="M51" s="14"/>
      <c r="N51" s="14"/>
      <c r="O51" s="14"/>
      <c r="P51" s="14"/>
      <c r="Q51" s="15"/>
    </row>
    <row r="52" customFormat="false" ht="15" hidden="false" customHeight="false" outlineLevel="0" collapsed="false">
      <c r="A52" s="11" t="n">
        <v>51</v>
      </c>
      <c r="B52" s="12" t="s">
        <v>59</v>
      </c>
      <c r="C52" s="11" t="s">
        <v>196</v>
      </c>
      <c r="D52" s="11" t="s">
        <v>197</v>
      </c>
      <c r="E52" s="12" t="s">
        <v>74</v>
      </c>
      <c r="F52" s="12" t="s">
        <v>74</v>
      </c>
      <c r="G52" s="13" t="s">
        <v>52</v>
      </c>
      <c r="H52" s="12" t="s">
        <v>102</v>
      </c>
      <c r="I52" s="12" t="s">
        <v>103</v>
      </c>
      <c r="J52" s="12" t="s">
        <v>191</v>
      </c>
      <c r="K52" s="14"/>
      <c r="L52" s="14"/>
      <c r="M52" s="14"/>
      <c r="N52" s="14"/>
      <c r="O52" s="14"/>
      <c r="P52" s="14"/>
      <c r="Q52" s="15"/>
    </row>
    <row r="53" customFormat="false" ht="15" hidden="false" customHeight="false" outlineLevel="0" collapsed="false">
      <c r="A53" s="11" t="n">
        <v>52</v>
      </c>
      <c r="B53" s="12" t="s">
        <v>63</v>
      </c>
      <c r="C53" s="11" t="s">
        <v>198</v>
      </c>
      <c r="D53" s="12" t="s">
        <v>199</v>
      </c>
      <c r="E53" s="12" t="s">
        <v>74</v>
      </c>
      <c r="F53" s="12" t="s">
        <v>74</v>
      </c>
      <c r="G53" s="13" t="s">
        <v>52</v>
      </c>
      <c r="H53" s="12" t="s">
        <v>102</v>
      </c>
      <c r="I53" s="12" t="s">
        <v>103</v>
      </c>
      <c r="J53" s="12" t="s">
        <v>191</v>
      </c>
      <c r="K53" s="14"/>
      <c r="L53" s="14"/>
      <c r="M53" s="14"/>
      <c r="N53" s="14"/>
      <c r="O53" s="14"/>
      <c r="P53" s="14"/>
      <c r="Q53" s="15"/>
    </row>
    <row r="54" customFormat="false" ht="15" hidden="false" customHeight="false" outlineLevel="0" collapsed="false">
      <c r="A54" s="11" t="n">
        <v>53</v>
      </c>
      <c r="B54" s="12" t="s">
        <v>47</v>
      </c>
      <c r="C54" s="11" t="s">
        <v>200</v>
      </c>
      <c r="D54" s="12" t="s">
        <v>201</v>
      </c>
      <c r="E54" s="12" t="s">
        <v>74</v>
      </c>
      <c r="F54" s="12" t="s">
        <v>74</v>
      </c>
      <c r="G54" s="13" t="s">
        <v>52</v>
      </c>
      <c r="H54" s="12" t="s">
        <v>102</v>
      </c>
      <c r="I54" s="12" t="s">
        <v>103</v>
      </c>
      <c r="J54" s="12" t="s">
        <v>191</v>
      </c>
      <c r="K54" s="14"/>
      <c r="L54" s="14"/>
      <c r="M54" s="14"/>
      <c r="N54" s="14"/>
      <c r="O54" s="14"/>
      <c r="P54" s="14"/>
      <c r="Q54" s="15"/>
    </row>
    <row r="55" customFormat="false" ht="15" hidden="false" customHeight="false" outlineLevel="0" collapsed="false">
      <c r="A55" s="11" t="n">
        <v>54</v>
      </c>
      <c r="B55" s="12" t="s">
        <v>55</v>
      </c>
      <c r="C55" s="11" t="s">
        <v>202</v>
      </c>
      <c r="D55" s="12" t="s">
        <v>203</v>
      </c>
      <c r="E55" s="12" t="s">
        <v>74</v>
      </c>
      <c r="F55" s="12" t="s">
        <v>74</v>
      </c>
      <c r="G55" s="13" t="s">
        <v>52</v>
      </c>
      <c r="H55" s="12" t="s">
        <v>82</v>
      </c>
      <c r="I55" s="12" t="s">
        <v>108</v>
      </c>
      <c r="J55" s="12" t="s">
        <v>109</v>
      </c>
      <c r="K55" s="14"/>
      <c r="L55" s="14"/>
      <c r="M55" s="14"/>
      <c r="N55" s="14"/>
      <c r="O55" s="14"/>
      <c r="P55" s="14"/>
      <c r="Q55" s="15"/>
    </row>
    <row r="56" customFormat="false" ht="15" hidden="false" customHeight="false" outlineLevel="0" collapsed="false">
      <c r="A56" s="11" t="n">
        <v>55</v>
      </c>
      <c r="B56" s="12" t="s">
        <v>59</v>
      </c>
      <c r="C56" s="11" t="s">
        <v>204</v>
      </c>
      <c r="D56" s="12" t="s">
        <v>205</v>
      </c>
      <c r="E56" s="12" t="s">
        <v>74</v>
      </c>
      <c r="F56" s="12" t="s">
        <v>74</v>
      </c>
      <c r="G56" s="13" t="s">
        <v>52</v>
      </c>
      <c r="H56" s="12" t="s">
        <v>82</v>
      </c>
      <c r="I56" s="12" t="s">
        <v>108</v>
      </c>
      <c r="J56" s="12" t="s">
        <v>206</v>
      </c>
      <c r="K56" s="14"/>
      <c r="L56" s="14"/>
      <c r="M56" s="14"/>
      <c r="N56" s="14"/>
      <c r="O56" s="14"/>
      <c r="P56" s="14"/>
      <c r="Q56" s="15"/>
    </row>
    <row r="57" customFormat="false" ht="15" hidden="false" customHeight="false" outlineLevel="0" collapsed="false">
      <c r="A57" s="11" t="n">
        <v>56</v>
      </c>
      <c r="B57" s="12" t="s">
        <v>63</v>
      </c>
      <c r="C57" s="11" t="s">
        <v>207</v>
      </c>
      <c r="D57" s="12" t="s">
        <v>208</v>
      </c>
      <c r="E57" s="12" t="s">
        <v>74</v>
      </c>
      <c r="F57" s="12" t="s">
        <v>74</v>
      </c>
      <c r="G57" s="13" t="s">
        <v>52</v>
      </c>
      <c r="H57" s="12" t="s">
        <v>102</v>
      </c>
      <c r="I57" s="12" t="s">
        <v>103</v>
      </c>
      <c r="J57" s="12" t="s">
        <v>191</v>
      </c>
      <c r="K57" s="14"/>
      <c r="L57" s="14"/>
      <c r="M57" s="14"/>
      <c r="N57" s="14"/>
      <c r="O57" s="14"/>
      <c r="P57" s="14"/>
      <c r="Q57" s="15"/>
    </row>
    <row r="58" customFormat="false" ht="15" hidden="false" customHeight="false" outlineLevel="0" collapsed="false">
      <c r="A58" s="11" t="n">
        <v>57</v>
      </c>
      <c r="B58" s="12" t="s">
        <v>47</v>
      </c>
      <c r="C58" s="11" t="s">
        <v>209</v>
      </c>
      <c r="D58" s="11" t="s">
        <v>210</v>
      </c>
      <c r="E58" s="12" t="s">
        <v>74</v>
      </c>
      <c r="F58" s="12" t="s">
        <v>74</v>
      </c>
      <c r="G58" s="13" t="s">
        <v>52</v>
      </c>
      <c r="H58" s="12" t="s">
        <v>58</v>
      </c>
      <c r="I58" s="11" t="s">
        <v>54</v>
      </c>
      <c r="J58" s="11"/>
      <c r="K58" s="14"/>
      <c r="L58" s="14"/>
      <c r="M58" s="14"/>
      <c r="N58" s="14"/>
      <c r="O58" s="14"/>
      <c r="P58" s="14"/>
      <c r="Q58" s="15"/>
    </row>
    <row r="59" customFormat="false" ht="25.35" hidden="false" customHeight="false" outlineLevel="0" collapsed="false">
      <c r="A59" s="11" t="n">
        <v>58</v>
      </c>
      <c r="B59" s="12" t="s">
        <v>55</v>
      </c>
      <c r="C59" s="11" t="s">
        <v>211</v>
      </c>
      <c r="D59" s="12" t="s">
        <v>212</v>
      </c>
      <c r="E59" s="12" t="s">
        <v>74</v>
      </c>
      <c r="F59" s="12" t="s">
        <v>74</v>
      </c>
      <c r="G59" s="13" t="s">
        <v>52</v>
      </c>
      <c r="H59" s="12" t="s">
        <v>58</v>
      </c>
      <c r="I59" s="11" t="s">
        <v>54</v>
      </c>
      <c r="J59" s="11"/>
      <c r="K59" s="14"/>
      <c r="L59" s="14"/>
      <c r="M59" s="14"/>
      <c r="N59" s="14"/>
      <c r="O59" s="14"/>
      <c r="P59" s="14"/>
      <c r="Q59" s="15"/>
    </row>
    <row r="60" customFormat="false" ht="15" hidden="false" customHeight="false" outlineLevel="0" collapsed="false">
      <c r="A60" s="11" t="n">
        <v>59</v>
      </c>
      <c r="B60" s="12" t="s">
        <v>59</v>
      </c>
      <c r="C60" s="11" t="s">
        <v>213</v>
      </c>
      <c r="D60" s="12" t="s">
        <v>214</v>
      </c>
      <c r="E60" s="12" t="s">
        <v>74</v>
      </c>
      <c r="F60" s="12" t="s">
        <v>74</v>
      </c>
      <c r="G60" s="13" t="s">
        <v>52</v>
      </c>
      <c r="H60" s="12" t="s">
        <v>58</v>
      </c>
      <c r="I60" s="11" t="s">
        <v>54</v>
      </c>
      <c r="J60" s="11"/>
      <c r="K60" s="14"/>
      <c r="L60" s="14"/>
      <c r="M60" s="14"/>
      <c r="N60" s="14"/>
      <c r="O60" s="14"/>
      <c r="P60" s="14"/>
      <c r="Q60" s="15"/>
    </row>
    <row r="61" customFormat="false" ht="15" hidden="false" customHeight="false" outlineLevel="0" collapsed="false">
      <c r="A61" s="11" t="n">
        <v>60</v>
      </c>
      <c r="B61" s="12" t="s">
        <v>63</v>
      </c>
      <c r="C61" s="11" t="s">
        <v>215</v>
      </c>
      <c r="D61" s="12" t="s">
        <v>216</v>
      </c>
      <c r="E61" s="12" t="s">
        <v>74</v>
      </c>
      <c r="F61" s="12" t="s">
        <v>74</v>
      </c>
      <c r="G61" s="13" t="s">
        <v>52</v>
      </c>
      <c r="H61" s="12" t="s">
        <v>82</v>
      </c>
      <c r="I61" s="12" t="s">
        <v>108</v>
      </c>
      <c r="J61" s="12" t="s">
        <v>162</v>
      </c>
      <c r="K61" s="14"/>
      <c r="L61" s="14"/>
      <c r="M61" s="14"/>
      <c r="N61" s="14"/>
      <c r="O61" s="14"/>
      <c r="P61" s="14"/>
      <c r="Q61" s="15"/>
    </row>
    <row r="62" customFormat="false" ht="15" hidden="false" customHeight="false" outlineLevel="0" collapsed="false">
      <c r="A62" s="11" t="n">
        <v>61</v>
      </c>
      <c r="B62" s="12" t="s">
        <v>47</v>
      </c>
      <c r="C62" s="11" t="s">
        <v>217</v>
      </c>
      <c r="D62" s="11" t="s">
        <v>218</v>
      </c>
      <c r="E62" s="12" t="s">
        <v>74</v>
      </c>
      <c r="F62" s="12" t="s">
        <v>74</v>
      </c>
      <c r="G62" s="13" t="s">
        <v>52</v>
      </c>
      <c r="H62" s="12" t="s">
        <v>82</v>
      </c>
      <c r="I62" s="12" t="s">
        <v>108</v>
      </c>
      <c r="J62" s="12" t="s">
        <v>162</v>
      </c>
      <c r="K62" s="14"/>
      <c r="L62" s="14"/>
      <c r="M62" s="14"/>
      <c r="N62" s="14"/>
      <c r="O62" s="14"/>
      <c r="P62" s="14"/>
      <c r="Q62" s="15"/>
    </row>
    <row r="63" customFormat="false" ht="15" hidden="false" customHeight="false" outlineLevel="0" collapsed="false">
      <c r="A63" s="11" t="n">
        <v>62</v>
      </c>
      <c r="B63" s="12" t="s">
        <v>55</v>
      </c>
      <c r="C63" s="11" t="s">
        <v>219</v>
      </c>
      <c r="D63" s="12" t="s">
        <v>220</v>
      </c>
      <c r="E63" s="12" t="s">
        <v>74</v>
      </c>
      <c r="F63" s="12" t="s">
        <v>74</v>
      </c>
      <c r="G63" s="13" t="s">
        <v>52</v>
      </c>
      <c r="H63" s="12" t="s">
        <v>82</v>
      </c>
      <c r="I63" s="12" t="s">
        <v>108</v>
      </c>
      <c r="J63" s="12" t="s">
        <v>109</v>
      </c>
      <c r="K63" s="14"/>
      <c r="L63" s="14"/>
      <c r="M63" s="14"/>
      <c r="N63" s="14"/>
      <c r="O63" s="14"/>
      <c r="P63" s="14"/>
      <c r="Q63" s="15"/>
    </row>
    <row r="64" customFormat="false" ht="15" hidden="false" customHeight="false" outlineLevel="0" collapsed="false">
      <c r="A64" s="11" t="n">
        <v>63</v>
      </c>
      <c r="B64" s="12" t="s">
        <v>59</v>
      </c>
      <c r="C64" s="11" t="s">
        <v>221</v>
      </c>
      <c r="D64" s="12" t="s">
        <v>222</v>
      </c>
      <c r="E64" s="12" t="s">
        <v>74</v>
      </c>
      <c r="F64" s="12" t="s">
        <v>74</v>
      </c>
      <c r="G64" s="13" t="s">
        <v>52</v>
      </c>
      <c r="H64" s="12" t="s">
        <v>82</v>
      </c>
      <c r="I64" s="12" t="s">
        <v>167</v>
      </c>
      <c r="J64" s="12" t="s">
        <v>168</v>
      </c>
      <c r="K64" s="14"/>
      <c r="L64" s="14"/>
      <c r="M64" s="14"/>
      <c r="N64" s="14"/>
      <c r="O64" s="14"/>
      <c r="P64" s="14"/>
      <c r="Q64" s="15"/>
    </row>
    <row r="65" customFormat="false" ht="15" hidden="false" customHeight="false" outlineLevel="0" collapsed="false">
      <c r="A65" s="11" t="n">
        <v>64</v>
      </c>
      <c r="B65" s="12" t="s">
        <v>63</v>
      </c>
      <c r="C65" s="11" t="s">
        <v>223</v>
      </c>
      <c r="D65" s="11" t="s">
        <v>224</v>
      </c>
      <c r="E65" s="12" t="s">
        <v>74</v>
      </c>
      <c r="F65" s="12" t="s">
        <v>74</v>
      </c>
      <c r="G65" s="13" t="s">
        <v>52</v>
      </c>
      <c r="H65" s="12" t="s">
        <v>82</v>
      </c>
      <c r="I65" s="12" t="s">
        <v>108</v>
      </c>
      <c r="J65" s="12" t="s">
        <v>162</v>
      </c>
      <c r="K65" s="14"/>
      <c r="L65" s="14"/>
      <c r="M65" s="14"/>
      <c r="N65" s="14"/>
      <c r="O65" s="14"/>
      <c r="P65" s="14"/>
      <c r="Q65" s="15"/>
    </row>
    <row r="66" customFormat="false" ht="15" hidden="false" customHeight="false" outlineLevel="0" collapsed="false">
      <c r="A66" s="11" t="n">
        <v>65</v>
      </c>
      <c r="B66" s="12" t="s">
        <v>47</v>
      </c>
      <c r="C66" s="11" t="s">
        <v>225</v>
      </c>
      <c r="D66" s="12" t="s">
        <v>226</v>
      </c>
      <c r="E66" s="12" t="s">
        <v>74</v>
      </c>
      <c r="F66" s="12" t="s">
        <v>74</v>
      </c>
      <c r="G66" s="13" t="s">
        <v>52</v>
      </c>
      <c r="H66" s="12" t="s">
        <v>82</v>
      </c>
      <c r="I66" s="12" t="s">
        <v>167</v>
      </c>
      <c r="J66" s="12" t="s">
        <v>168</v>
      </c>
      <c r="K66" s="14"/>
      <c r="L66" s="14"/>
      <c r="M66" s="14"/>
      <c r="N66" s="14"/>
      <c r="O66" s="14"/>
      <c r="P66" s="14"/>
      <c r="Q66" s="15"/>
    </row>
    <row r="67" customFormat="false" ht="26.85" hidden="false" customHeight="false" outlineLevel="0" collapsed="false">
      <c r="A67" s="11" t="n">
        <v>66</v>
      </c>
      <c r="B67" s="12" t="s">
        <v>55</v>
      </c>
      <c r="C67" s="11" t="s">
        <v>227</v>
      </c>
      <c r="D67" s="11" t="s">
        <v>228</v>
      </c>
      <c r="E67" s="12" t="s">
        <v>74</v>
      </c>
      <c r="F67" s="12" t="s">
        <v>74</v>
      </c>
      <c r="G67" s="13" t="s">
        <v>52</v>
      </c>
      <c r="H67" s="12" t="s">
        <v>89</v>
      </c>
      <c r="I67" s="12" t="s">
        <v>94</v>
      </c>
      <c r="J67" s="12" t="s">
        <v>229</v>
      </c>
      <c r="K67" s="14"/>
      <c r="L67" s="14"/>
      <c r="M67" s="14"/>
      <c r="N67" s="14"/>
      <c r="O67" s="14"/>
      <c r="P67" s="14"/>
      <c r="Q67" s="15"/>
    </row>
    <row r="68" customFormat="false" ht="26.85" hidden="false" customHeight="false" outlineLevel="0" collapsed="false">
      <c r="A68" s="11" t="n">
        <v>67</v>
      </c>
      <c r="B68" s="12" t="s">
        <v>59</v>
      </c>
      <c r="C68" s="11" t="s">
        <v>230</v>
      </c>
      <c r="D68" s="11" t="s">
        <v>231</v>
      </c>
      <c r="E68" s="12" t="s">
        <v>74</v>
      </c>
      <c r="F68" s="12" t="s">
        <v>74</v>
      </c>
      <c r="G68" s="13" t="s">
        <v>52</v>
      </c>
      <c r="H68" s="12" t="s">
        <v>58</v>
      </c>
      <c r="I68" s="11" t="s">
        <v>54</v>
      </c>
      <c r="J68" s="11"/>
      <c r="K68" s="14"/>
      <c r="L68" s="14"/>
      <c r="M68" s="14"/>
      <c r="N68" s="14"/>
      <c r="O68" s="14"/>
      <c r="P68" s="14"/>
      <c r="Q68" s="15"/>
    </row>
    <row r="69" customFormat="false" ht="26.85" hidden="false" customHeight="false" outlineLevel="0" collapsed="false">
      <c r="A69" s="11" t="n">
        <v>68</v>
      </c>
      <c r="B69" s="12" t="s">
        <v>63</v>
      </c>
      <c r="C69" s="11" t="s">
        <v>232</v>
      </c>
      <c r="D69" s="12" t="s">
        <v>233</v>
      </c>
      <c r="E69" s="12" t="s">
        <v>74</v>
      </c>
      <c r="F69" s="12" t="s">
        <v>74</v>
      </c>
      <c r="G69" s="13" t="s">
        <v>52</v>
      </c>
      <c r="H69" s="12" t="s">
        <v>53</v>
      </c>
      <c r="I69" s="11" t="s">
        <v>54</v>
      </c>
      <c r="J69" s="11"/>
      <c r="K69" s="14"/>
      <c r="L69" s="14"/>
      <c r="M69" s="14"/>
      <c r="N69" s="14"/>
      <c r="O69" s="14"/>
      <c r="P69" s="14"/>
      <c r="Q69" s="15"/>
    </row>
    <row r="70" customFormat="false" ht="26.85" hidden="false" customHeight="false" outlineLevel="0" collapsed="false">
      <c r="A70" s="11" t="n">
        <v>69</v>
      </c>
      <c r="B70" s="12" t="s">
        <v>47</v>
      </c>
      <c r="C70" s="11" t="s">
        <v>234</v>
      </c>
      <c r="D70" s="11" t="s">
        <v>235</v>
      </c>
      <c r="E70" s="12" t="s">
        <v>74</v>
      </c>
      <c r="F70" s="12" t="s">
        <v>74</v>
      </c>
      <c r="G70" s="13" t="s">
        <v>52</v>
      </c>
      <c r="H70" s="12" t="s">
        <v>58</v>
      </c>
      <c r="I70" s="11" t="s">
        <v>54</v>
      </c>
      <c r="J70" s="11"/>
      <c r="K70" s="14"/>
      <c r="L70" s="14"/>
      <c r="M70" s="14"/>
      <c r="N70" s="14"/>
      <c r="O70" s="14"/>
      <c r="P70" s="14"/>
      <c r="Q70" s="15"/>
    </row>
    <row r="71" customFormat="false" ht="15" hidden="false" customHeight="false" outlineLevel="0" collapsed="false">
      <c r="A71" s="11" t="n">
        <v>70</v>
      </c>
      <c r="B71" s="12" t="s">
        <v>55</v>
      </c>
      <c r="C71" s="11" t="s">
        <v>236</v>
      </c>
      <c r="D71" s="11" t="s">
        <v>237</v>
      </c>
      <c r="E71" s="12" t="s">
        <v>74</v>
      </c>
      <c r="F71" s="12" t="s">
        <v>74</v>
      </c>
      <c r="G71" s="13" t="s">
        <v>52</v>
      </c>
      <c r="H71" s="12" t="s">
        <v>58</v>
      </c>
      <c r="I71" s="11" t="s">
        <v>54</v>
      </c>
      <c r="J71" s="11"/>
      <c r="K71" s="14"/>
      <c r="L71" s="14"/>
      <c r="M71" s="14"/>
      <c r="N71" s="14"/>
      <c r="O71" s="14"/>
      <c r="P71" s="14"/>
      <c r="Q71" s="15"/>
    </row>
    <row r="72" customFormat="false" ht="15" hidden="false" customHeight="false" outlineLevel="0" collapsed="false">
      <c r="A72" s="11" t="n">
        <v>71</v>
      </c>
      <c r="B72" s="12" t="s">
        <v>59</v>
      </c>
      <c r="C72" s="11" t="s">
        <v>238</v>
      </c>
      <c r="D72" s="12" t="s">
        <v>239</v>
      </c>
      <c r="E72" s="12" t="s">
        <v>74</v>
      </c>
      <c r="F72" s="12" t="s">
        <v>74</v>
      </c>
      <c r="G72" s="13" t="s">
        <v>52</v>
      </c>
      <c r="H72" s="12" t="s">
        <v>58</v>
      </c>
      <c r="I72" s="12" t="s">
        <v>240</v>
      </c>
      <c r="J72" s="11" t="s">
        <v>241</v>
      </c>
      <c r="K72" s="14"/>
      <c r="L72" s="14"/>
      <c r="M72" s="14"/>
      <c r="N72" s="14"/>
      <c r="O72" s="14"/>
      <c r="P72" s="14"/>
      <c r="Q72" s="15"/>
    </row>
    <row r="73" customFormat="false" ht="26.85" hidden="false" customHeight="false" outlineLevel="0" collapsed="false">
      <c r="A73" s="11" t="n">
        <v>72</v>
      </c>
      <c r="B73" s="12" t="s">
        <v>63</v>
      </c>
      <c r="C73" s="11" t="s">
        <v>242</v>
      </c>
      <c r="D73" s="12" t="s">
        <v>243</v>
      </c>
      <c r="E73" s="12" t="s">
        <v>74</v>
      </c>
      <c r="F73" s="12" t="s">
        <v>74</v>
      </c>
      <c r="G73" s="13" t="s">
        <v>52</v>
      </c>
      <c r="H73" s="12" t="s">
        <v>53</v>
      </c>
      <c r="I73" s="11" t="s">
        <v>54</v>
      </c>
      <c r="J73" s="11"/>
      <c r="K73" s="14"/>
      <c r="L73" s="14"/>
      <c r="M73" s="14"/>
      <c r="N73" s="14"/>
      <c r="O73" s="14"/>
      <c r="P73" s="14"/>
      <c r="Q73" s="15"/>
    </row>
    <row r="74" customFormat="false" ht="15" hidden="false" customHeight="false" outlineLevel="0" collapsed="false">
      <c r="A74" s="11" t="n">
        <v>73</v>
      </c>
      <c r="B74" s="12" t="s">
        <v>47</v>
      </c>
      <c r="C74" s="11" t="s">
        <v>244</v>
      </c>
      <c r="D74" s="11" t="s">
        <v>245</v>
      </c>
      <c r="E74" s="12" t="s">
        <v>246</v>
      </c>
      <c r="F74" s="12" t="s">
        <v>247</v>
      </c>
      <c r="G74" s="13" t="s">
        <v>52</v>
      </c>
      <c r="H74" s="12" t="s">
        <v>58</v>
      </c>
      <c r="I74" s="12" t="s">
        <v>240</v>
      </c>
      <c r="J74" s="12" t="s">
        <v>248</v>
      </c>
      <c r="K74" s="14"/>
      <c r="L74" s="14"/>
      <c r="M74" s="14"/>
      <c r="N74" s="14"/>
      <c r="O74" s="14"/>
      <c r="P74" s="14"/>
      <c r="Q74" s="15"/>
    </row>
    <row r="75" customFormat="false" ht="26.85" hidden="false" customHeight="false" outlineLevel="0" collapsed="false">
      <c r="A75" s="11" t="n">
        <v>74</v>
      </c>
      <c r="B75" s="12" t="s">
        <v>55</v>
      </c>
      <c r="C75" s="11" t="s">
        <v>249</v>
      </c>
      <c r="D75" s="11" t="s">
        <v>250</v>
      </c>
      <c r="E75" s="12" t="s">
        <v>246</v>
      </c>
      <c r="F75" s="12" t="s">
        <v>247</v>
      </c>
      <c r="G75" s="13" t="s">
        <v>52</v>
      </c>
      <c r="H75" s="12" t="s">
        <v>58</v>
      </c>
      <c r="I75" s="12" t="s">
        <v>240</v>
      </c>
      <c r="J75" s="11" t="s">
        <v>241</v>
      </c>
      <c r="K75" s="14"/>
      <c r="L75" s="14"/>
      <c r="M75" s="14"/>
      <c r="N75" s="14"/>
      <c r="O75" s="14"/>
      <c r="P75" s="14"/>
      <c r="Q75" s="15"/>
    </row>
    <row r="76" customFormat="false" ht="26.85" hidden="false" customHeight="false" outlineLevel="0" collapsed="false">
      <c r="A76" s="11" t="n">
        <v>75</v>
      </c>
      <c r="B76" s="12" t="s">
        <v>59</v>
      </c>
      <c r="C76" s="11" t="s">
        <v>251</v>
      </c>
      <c r="D76" s="11" t="s">
        <v>252</v>
      </c>
      <c r="E76" s="12" t="s">
        <v>246</v>
      </c>
      <c r="F76" s="12" t="s">
        <v>247</v>
      </c>
      <c r="G76" s="13" t="s">
        <v>52</v>
      </c>
      <c r="H76" s="12" t="s">
        <v>58</v>
      </c>
      <c r="I76" s="12" t="s">
        <v>240</v>
      </c>
      <c r="J76" s="11" t="s">
        <v>241</v>
      </c>
      <c r="K76" s="14"/>
      <c r="L76" s="14"/>
      <c r="M76" s="14"/>
      <c r="N76" s="14"/>
      <c r="O76" s="14"/>
      <c r="P76" s="14"/>
      <c r="Q76" s="15"/>
    </row>
    <row r="77" customFormat="false" ht="15" hidden="false" customHeight="false" outlineLevel="0" collapsed="false">
      <c r="A77" s="11" t="n">
        <v>76</v>
      </c>
      <c r="B77" s="12" t="s">
        <v>63</v>
      </c>
      <c r="C77" s="11" t="s">
        <v>253</v>
      </c>
      <c r="D77" s="11" t="s">
        <v>254</v>
      </c>
      <c r="E77" s="12" t="s">
        <v>246</v>
      </c>
      <c r="F77" s="12" t="s">
        <v>247</v>
      </c>
      <c r="G77" s="13" t="s">
        <v>52</v>
      </c>
      <c r="H77" s="12" t="s">
        <v>102</v>
      </c>
      <c r="I77" s="12" t="s">
        <v>103</v>
      </c>
      <c r="J77" s="12" t="s">
        <v>191</v>
      </c>
      <c r="K77" s="14"/>
      <c r="L77" s="14"/>
      <c r="M77" s="14"/>
      <c r="N77" s="14"/>
      <c r="O77" s="14"/>
      <c r="P77" s="14"/>
      <c r="Q77" s="15"/>
    </row>
    <row r="78" customFormat="false" ht="26.85" hidden="false" customHeight="false" outlineLevel="0" collapsed="false">
      <c r="A78" s="11" t="n">
        <v>77</v>
      </c>
      <c r="B78" s="12" t="s">
        <v>47</v>
      </c>
      <c r="C78" s="11" t="s">
        <v>255</v>
      </c>
      <c r="D78" s="11" t="s">
        <v>256</v>
      </c>
      <c r="E78" s="12" t="s">
        <v>246</v>
      </c>
      <c r="F78" s="12" t="s">
        <v>247</v>
      </c>
      <c r="G78" s="13" t="s">
        <v>52</v>
      </c>
      <c r="H78" s="12" t="s">
        <v>102</v>
      </c>
      <c r="I78" s="12" t="s">
        <v>103</v>
      </c>
      <c r="J78" s="12" t="s">
        <v>191</v>
      </c>
      <c r="K78" s="14"/>
      <c r="L78" s="14"/>
      <c r="M78" s="14"/>
      <c r="N78" s="14"/>
      <c r="O78" s="14"/>
      <c r="P78" s="14"/>
      <c r="Q78" s="15"/>
    </row>
    <row r="79" customFormat="false" ht="15" hidden="false" customHeight="false" outlineLevel="0" collapsed="false">
      <c r="A79" s="11" t="n">
        <v>78</v>
      </c>
      <c r="B79" s="12" t="s">
        <v>55</v>
      </c>
      <c r="C79" s="11" t="s">
        <v>257</v>
      </c>
      <c r="D79" s="11" t="s">
        <v>258</v>
      </c>
      <c r="E79" s="12" t="s">
        <v>246</v>
      </c>
      <c r="F79" s="12" t="s">
        <v>247</v>
      </c>
      <c r="G79" s="13" t="s">
        <v>52</v>
      </c>
      <c r="H79" s="12" t="s">
        <v>82</v>
      </c>
      <c r="I79" s="12" t="s">
        <v>167</v>
      </c>
      <c r="J79" s="12" t="s">
        <v>178</v>
      </c>
      <c r="K79" s="14"/>
      <c r="L79" s="14"/>
      <c r="M79" s="14"/>
      <c r="N79" s="14"/>
      <c r="O79" s="14"/>
      <c r="P79" s="14"/>
      <c r="Q79" s="15"/>
    </row>
    <row r="80" customFormat="false" ht="25.35" hidden="false" customHeight="false" outlineLevel="0" collapsed="false">
      <c r="A80" s="11" t="n">
        <v>79</v>
      </c>
      <c r="B80" s="12" t="s">
        <v>59</v>
      </c>
      <c r="C80" s="11" t="s">
        <v>259</v>
      </c>
      <c r="D80" s="11" t="s">
        <v>260</v>
      </c>
      <c r="E80" s="12" t="s">
        <v>246</v>
      </c>
      <c r="F80" s="12" t="s">
        <v>247</v>
      </c>
      <c r="G80" s="13" t="s">
        <v>52</v>
      </c>
      <c r="H80" s="12" t="s">
        <v>58</v>
      </c>
      <c r="I80" s="11" t="s">
        <v>54</v>
      </c>
      <c r="J80" s="11"/>
      <c r="K80" s="14"/>
      <c r="L80" s="14"/>
      <c r="M80" s="14"/>
      <c r="N80" s="14"/>
      <c r="O80" s="14"/>
      <c r="P80" s="14"/>
      <c r="Q80" s="15"/>
    </row>
    <row r="81" customFormat="false" ht="26.85" hidden="false" customHeight="false" outlineLevel="0" collapsed="false">
      <c r="A81" s="11" t="n">
        <v>80</v>
      </c>
      <c r="B81" s="12" t="s">
        <v>63</v>
      </c>
      <c r="C81" s="11" t="s">
        <v>261</v>
      </c>
      <c r="D81" s="11" t="s">
        <v>262</v>
      </c>
      <c r="E81" s="12" t="s">
        <v>246</v>
      </c>
      <c r="F81" s="12" t="s">
        <v>247</v>
      </c>
      <c r="G81" s="13" t="s">
        <v>52</v>
      </c>
      <c r="H81" s="12" t="s">
        <v>58</v>
      </c>
      <c r="I81" s="11" t="s">
        <v>54</v>
      </c>
      <c r="J81" s="11"/>
      <c r="K81" s="14"/>
      <c r="L81" s="14"/>
      <c r="M81" s="14"/>
      <c r="N81" s="14"/>
      <c r="O81" s="14"/>
      <c r="P81" s="14"/>
      <c r="Q81" s="15"/>
    </row>
    <row r="82" customFormat="false" ht="15" hidden="false" customHeight="false" outlineLevel="0" collapsed="false">
      <c r="A82" s="11" t="n">
        <v>81</v>
      </c>
      <c r="B82" s="12" t="s">
        <v>47</v>
      </c>
      <c r="C82" s="11" t="s">
        <v>263</v>
      </c>
      <c r="D82" s="11" t="s">
        <v>264</v>
      </c>
      <c r="E82" s="12" t="s">
        <v>246</v>
      </c>
      <c r="F82" s="12" t="s">
        <v>247</v>
      </c>
      <c r="G82" s="13" t="s">
        <v>52</v>
      </c>
      <c r="H82" s="12" t="s">
        <v>58</v>
      </c>
      <c r="I82" s="11" t="s">
        <v>54</v>
      </c>
      <c r="J82" s="11"/>
      <c r="K82" s="14"/>
      <c r="L82" s="14"/>
      <c r="M82" s="14"/>
      <c r="N82" s="14"/>
      <c r="O82" s="14"/>
      <c r="P82" s="14"/>
      <c r="Q82" s="15"/>
    </row>
    <row r="83" customFormat="false" ht="26.85" hidden="false" customHeight="false" outlineLevel="0" collapsed="false">
      <c r="A83" s="11" t="n">
        <v>82</v>
      </c>
      <c r="B83" s="12" t="s">
        <v>55</v>
      </c>
      <c r="C83" s="11" t="s">
        <v>265</v>
      </c>
      <c r="D83" s="11" t="s">
        <v>266</v>
      </c>
      <c r="E83" s="12" t="s">
        <v>246</v>
      </c>
      <c r="F83" s="12" t="s">
        <v>247</v>
      </c>
      <c r="G83" s="13" t="s">
        <v>52</v>
      </c>
      <c r="H83" s="12" t="s">
        <v>58</v>
      </c>
      <c r="I83" s="11" t="s">
        <v>54</v>
      </c>
      <c r="J83" s="11"/>
      <c r="K83" s="14"/>
      <c r="L83" s="14"/>
      <c r="M83" s="14"/>
      <c r="N83" s="14"/>
      <c r="O83" s="14"/>
      <c r="P83" s="14"/>
      <c r="Q83" s="15"/>
    </row>
    <row r="84" customFormat="false" ht="15" hidden="false" customHeight="false" outlineLevel="0" collapsed="false">
      <c r="A84" s="11" t="n">
        <v>83</v>
      </c>
      <c r="B84" s="12" t="s">
        <v>59</v>
      </c>
      <c r="C84" s="11" t="s">
        <v>267</v>
      </c>
      <c r="D84" s="11" t="s">
        <v>268</v>
      </c>
      <c r="E84" s="12" t="s">
        <v>246</v>
      </c>
      <c r="F84" s="12" t="s">
        <v>247</v>
      </c>
      <c r="G84" s="13" t="s">
        <v>52</v>
      </c>
      <c r="H84" s="12" t="s">
        <v>58</v>
      </c>
      <c r="I84" s="11" t="s">
        <v>54</v>
      </c>
      <c r="J84" s="11"/>
      <c r="K84" s="14"/>
      <c r="L84" s="14"/>
      <c r="M84" s="14"/>
      <c r="N84" s="14"/>
      <c r="O84" s="14"/>
      <c r="P84" s="14"/>
      <c r="Q84" s="15"/>
    </row>
    <row r="85" customFormat="false" ht="26.85" hidden="false" customHeight="false" outlineLevel="0" collapsed="false">
      <c r="A85" s="11" t="n">
        <v>84</v>
      </c>
      <c r="B85" s="12" t="s">
        <v>63</v>
      </c>
      <c r="C85" s="11" t="s">
        <v>269</v>
      </c>
      <c r="D85" s="11" t="s">
        <v>270</v>
      </c>
      <c r="E85" s="12" t="s">
        <v>246</v>
      </c>
      <c r="F85" s="12" t="s">
        <v>247</v>
      </c>
      <c r="G85" s="13" t="s">
        <v>52</v>
      </c>
      <c r="H85" s="12" t="s">
        <v>58</v>
      </c>
      <c r="I85" s="11" t="s">
        <v>54</v>
      </c>
      <c r="J85" s="11"/>
      <c r="K85" s="14"/>
      <c r="L85" s="14"/>
      <c r="M85" s="14"/>
      <c r="N85" s="14"/>
      <c r="O85" s="14"/>
      <c r="P85" s="14"/>
      <c r="Q85" s="15"/>
    </row>
    <row r="86" customFormat="false" ht="15" hidden="false" customHeight="false" outlineLevel="0" collapsed="false">
      <c r="A86" s="11" t="n">
        <v>85</v>
      </c>
      <c r="B86" s="12" t="s">
        <v>47</v>
      </c>
      <c r="C86" s="11" t="s">
        <v>271</v>
      </c>
      <c r="D86" s="11" t="s">
        <v>272</v>
      </c>
      <c r="E86" s="12" t="s">
        <v>246</v>
      </c>
      <c r="F86" s="12" t="s">
        <v>247</v>
      </c>
      <c r="G86" s="13" t="s">
        <v>52</v>
      </c>
      <c r="H86" s="12" t="s">
        <v>58</v>
      </c>
      <c r="I86" s="11" t="s">
        <v>54</v>
      </c>
      <c r="J86" s="11"/>
      <c r="K86" s="14"/>
      <c r="L86" s="14"/>
      <c r="M86" s="14"/>
      <c r="N86" s="14"/>
      <c r="O86" s="14"/>
      <c r="P86" s="14"/>
      <c r="Q86" s="15"/>
    </row>
    <row r="87" customFormat="false" ht="15" hidden="false" customHeight="false" outlineLevel="0" collapsed="false">
      <c r="A87" s="11" t="n">
        <v>86</v>
      </c>
      <c r="B87" s="12" t="s">
        <v>55</v>
      </c>
      <c r="C87" s="11" t="s">
        <v>273</v>
      </c>
      <c r="D87" s="11" t="s">
        <v>274</v>
      </c>
      <c r="E87" s="12" t="s">
        <v>246</v>
      </c>
      <c r="F87" s="12" t="s">
        <v>247</v>
      </c>
      <c r="G87" s="13" t="s">
        <v>52</v>
      </c>
      <c r="H87" s="12" t="s">
        <v>58</v>
      </c>
      <c r="I87" s="11" t="s">
        <v>54</v>
      </c>
      <c r="J87" s="11"/>
      <c r="K87" s="14"/>
      <c r="L87" s="14"/>
      <c r="M87" s="14"/>
      <c r="N87" s="14"/>
      <c r="O87" s="14"/>
      <c r="P87" s="14"/>
      <c r="Q87" s="15"/>
    </row>
    <row r="88" customFormat="false" ht="26.85" hidden="false" customHeight="false" outlineLevel="0" collapsed="false">
      <c r="A88" s="11" t="n">
        <v>87</v>
      </c>
      <c r="B88" s="12" t="s">
        <v>59</v>
      </c>
      <c r="C88" s="11" t="s">
        <v>275</v>
      </c>
      <c r="D88" s="11" t="s">
        <v>276</v>
      </c>
      <c r="E88" s="12" t="s">
        <v>246</v>
      </c>
      <c r="F88" s="12" t="s">
        <v>247</v>
      </c>
      <c r="G88" s="13" t="s">
        <v>52</v>
      </c>
      <c r="H88" s="12" t="s">
        <v>58</v>
      </c>
      <c r="I88" s="11" t="s">
        <v>54</v>
      </c>
      <c r="J88" s="11"/>
      <c r="K88" s="14"/>
      <c r="L88" s="14"/>
      <c r="M88" s="14"/>
      <c r="N88" s="14"/>
      <c r="O88" s="14"/>
      <c r="P88" s="14"/>
      <c r="Q88" s="15"/>
    </row>
    <row r="89" customFormat="false" ht="15" hidden="false" customHeight="false" outlineLevel="0" collapsed="false">
      <c r="A89" s="11" t="n">
        <v>88</v>
      </c>
      <c r="B89" s="12" t="s">
        <v>63</v>
      </c>
      <c r="C89" s="11" t="s">
        <v>277</v>
      </c>
      <c r="D89" s="11" t="s">
        <v>278</v>
      </c>
      <c r="E89" s="12" t="s">
        <v>246</v>
      </c>
      <c r="F89" s="12" t="s">
        <v>247</v>
      </c>
      <c r="G89" s="13" t="s">
        <v>52</v>
      </c>
      <c r="H89" s="12" t="s">
        <v>58</v>
      </c>
      <c r="I89" s="11" t="s">
        <v>54</v>
      </c>
      <c r="J89" s="11"/>
      <c r="K89" s="14"/>
      <c r="L89" s="14"/>
      <c r="M89" s="14"/>
      <c r="N89" s="14"/>
      <c r="O89" s="14"/>
      <c r="P89" s="14"/>
      <c r="Q89" s="15"/>
    </row>
    <row r="90" customFormat="false" ht="26.85" hidden="false" customHeight="false" outlineLevel="0" collapsed="false">
      <c r="A90" s="11" t="n">
        <v>89</v>
      </c>
      <c r="B90" s="12" t="s">
        <v>47</v>
      </c>
      <c r="C90" s="11" t="s">
        <v>279</v>
      </c>
      <c r="D90" s="11" t="s">
        <v>280</v>
      </c>
      <c r="E90" s="12" t="s">
        <v>246</v>
      </c>
      <c r="F90" s="12" t="s">
        <v>247</v>
      </c>
      <c r="G90" s="13" t="s">
        <v>52</v>
      </c>
      <c r="H90" s="12" t="s">
        <v>58</v>
      </c>
      <c r="I90" s="11" t="s">
        <v>54</v>
      </c>
      <c r="J90" s="11"/>
      <c r="K90" s="14"/>
      <c r="L90" s="14"/>
      <c r="M90" s="14"/>
      <c r="N90" s="14"/>
      <c r="O90" s="14"/>
      <c r="P90" s="14"/>
      <c r="Q90" s="15"/>
    </row>
    <row r="91" customFormat="false" ht="15" hidden="false" customHeight="false" outlineLevel="0" collapsed="false">
      <c r="A91" s="11" t="n">
        <v>90</v>
      </c>
      <c r="B91" s="12" t="s">
        <v>55</v>
      </c>
      <c r="C91" s="11" t="s">
        <v>281</v>
      </c>
      <c r="D91" s="11" t="s">
        <v>282</v>
      </c>
      <c r="E91" s="12" t="s">
        <v>246</v>
      </c>
      <c r="F91" s="12" t="s">
        <v>247</v>
      </c>
      <c r="G91" s="13" t="s">
        <v>52</v>
      </c>
      <c r="H91" s="12" t="s">
        <v>58</v>
      </c>
      <c r="I91" s="11" t="s">
        <v>54</v>
      </c>
      <c r="J91" s="11"/>
      <c r="K91" s="14"/>
      <c r="L91" s="14"/>
      <c r="M91" s="14"/>
      <c r="N91" s="14"/>
      <c r="O91" s="14"/>
      <c r="P91" s="14"/>
      <c r="Q91" s="15"/>
    </row>
    <row r="92" customFormat="false" ht="25.35" hidden="false" customHeight="false" outlineLevel="0" collapsed="false">
      <c r="A92" s="11" t="n">
        <v>91</v>
      </c>
      <c r="B92" s="12" t="s">
        <v>59</v>
      </c>
      <c r="C92" s="11" t="s">
        <v>283</v>
      </c>
      <c r="D92" s="11" t="s">
        <v>284</v>
      </c>
      <c r="E92" s="12" t="s">
        <v>246</v>
      </c>
      <c r="F92" s="12" t="s">
        <v>247</v>
      </c>
      <c r="G92" s="13" t="s">
        <v>52</v>
      </c>
      <c r="H92" s="12" t="s">
        <v>58</v>
      </c>
      <c r="I92" s="11" t="s">
        <v>54</v>
      </c>
      <c r="J92" s="11"/>
      <c r="K92" s="14"/>
      <c r="L92" s="14"/>
      <c r="M92" s="14"/>
      <c r="N92" s="14"/>
      <c r="O92" s="14"/>
      <c r="P92" s="14"/>
      <c r="Q92" s="15"/>
    </row>
    <row r="93" customFormat="false" ht="26.85" hidden="false" customHeight="false" outlineLevel="0" collapsed="false">
      <c r="A93" s="11" t="n">
        <v>92</v>
      </c>
      <c r="B93" s="12" t="s">
        <v>63</v>
      </c>
      <c r="C93" s="11" t="s">
        <v>285</v>
      </c>
      <c r="D93" s="11" t="s">
        <v>286</v>
      </c>
      <c r="E93" s="12" t="s">
        <v>246</v>
      </c>
      <c r="F93" s="12" t="s">
        <v>247</v>
      </c>
      <c r="G93" s="13" t="s">
        <v>52</v>
      </c>
      <c r="H93" s="12" t="s">
        <v>58</v>
      </c>
      <c r="I93" s="11" t="s">
        <v>54</v>
      </c>
      <c r="J93" s="11"/>
      <c r="K93" s="14"/>
      <c r="L93" s="14"/>
      <c r="M93" s="14"/>
      <c r="N93" s="14"/>
      <c r="O93" s="14"/>
      <c r="P93" s="14"/>
      <c r="Q93" s="15"/>
    </row>
    <row r="94" customFormat="false" ht="26.85" hidden="false" customHeight="false" outlineLevel="0" collapsed="false">
      <c r="A94" s="11" t="n">
        <v>93</v>
      </c>
      <c r="B94" s="12" t="s">
        <v>47</v>
      </c>
      <c r="C94" s="11" t="s">
        <v>287</v>
      </c>
      <c r="D94" s="11" t="s">
        <v>288</v>
      </c>
      <c r="E94" s="12" t="s">
        <v>246</v>
      </c>
      <c r="F94" s="12" t="s">
        <v>247</v>
      </c>
      <c r="G94" s="13" t="s">
        <v>52</v>
      </c>
      <c r="H94" s="12" t="s">
        <v>58</v>
      </c>
      <c r="I94" s="11" t="s">
        <v>54</v>
      </c>
      <c r="J94" s="11"/>
      <c r="K94" s="14"/>
      <c r="L94" s="14"/>
      <c r="M94" s="14"/>
      <c r="N94" s="14"/>
      <c r="O94" s="14"/>
      <c r="P94" s="14"/>
      <c r="Q94" s="15"/>
    </row>
    <row r="95" customFormat="false" ht="26.85" hidden="false" customHeight="false" outlineLevel="0" collapsed="false">
      <c r="A95" s="11" t="n">
        <v>94</v>
      </c>
      <c r="B95" s="12" t="s">
        <v>55</v>
      </c>
      <c r="C95" s="11" t="s">
        <v>289</v>
      </c>
      <c r="D95" s="11" t="s">
        <v>290</v>
      </c>
      <c r="E95" s="12" t="s">
        <v>246</v>
      </c>
      <c r="F95" s="12" t="s">
        <v>247</v>
      </c>
      <c r="G95" s="13" t="s">
        <v>52</v>
      </c>
      <c r="H95" s="12" t="s">
        <v>58</v>
      </c>
      <c r="I95" s="11" t="s">
        <v>54</v>
      </c>
      <c r="J95" s="11"/>
      <c r="K95" s="14"/>
      <c r="L95" s="14"/>
      <c r="M95" s="14"/>
      <c r="N95" s="14"/>
      <c r="O95" s="14"/>
      <c r="P95" s="14"/>
      <c r="Q95" s="15"/>
    </row>
    <row r="96" customFormat="false" ht="26.85" hidden="false" customHeight="false" outlineLevel="0" collapsed="false">
      <c r="A96" s="11" t="n">
        <v>95</v>
      </c>
      <c r="B96" s="12" t="s">
        <v>59</v>
      </c>
      <c r="C96" s="11" t="s">
        <v>291</v>
      </c>
      <c r="D96" s="11" t="s">
        <v>292</v>
      </c>
      <c r="E96" s="12" t="s">
        <v>246</v>
      </c>
      <c r="F96" s="12" t="s">
        <v>247</v>
      </c>
      <c r="G96" s="13" t="s">
        <v>52</v>
      </c>
      <c r="H96" s="12" t="s">
        <v>58</v>
      </c>
      <c r="I96" s="11" t="s">
        <v>54</v>
      </c>
      <c r="J96" s="11"/>
      <c r="K96" s="14"/>
      <c r="L96" s="14"/>
      <c r="M96" s="14"/>
      <c r="N96" s="14"/>
      <c r="O96" s="14"/>
      <c r="P96" s="14"/>
      <c r="Q96" s="15"/>
    </row>
    <row r="97" customFormat="false" ht="26.85" hidden="false" customHeight="false" outlineLevel="0" collapsed="false">
      <c r="A97" s="11" t="n">
        <v>96</v>
      </c>
      <c r="B97" s="12" t="s">
        <v>63</v>
      </c>
      <c r="C97" s="11" t="s">
        <v>293</v>
      </c>
      <c r="D97" s="11" t="s">
        <v>294</v>
      </c>
      <c r="E97" s="12" t="s">
        <v>246</v>
      </c>
      <c r="F97" s="12" t="s">
        <v>247</v>
      </c>
      <c r="G97" s="13" t="s">
        <v>52</v>
      </c>
      <c r="H97" s="12" t="s">
        <v>58</v>
      </c>
      <c r="I97" s="11" t="s">
        <v>54</v>
      </c>
      <c r="J97" s="11"/>
      <c r="K97" s="14"/>
      <c r="L97" s="14"/>
      <c r="M97" s="14"/>
      <c r="N97" s="14"/>
      <c r="O97" s="14"/>
      <c r="P97" s="14"/>
      <c r="Q97" s="15"/>
    </row>
    <row r="98" customFormat="false" ht="26.85" hidden="false" customHeight="false" outlineLevel="0" collapsed="false">
      <c r="A98" s="11" t="n">
        <v>97</v>
      </c>
      <c r="B98" s="12" t="s">
        <v>47</v>
      </c>
      <c r="C98" s="11" t="s">
        <v>295</v>
      </c>
      <c r="D98" s="11" t="s">
        <v>296</v>
      </c>
      <c r="E98" s="12" t="s">
        <v>246</v>
      </c>
      <c r="F98" s="12" t="s">
        <v>247</v>
      </c>
      <c r="G98" s="13" t="s">
        <v>52</v>
      </c>
      <c r="H98" s="12" t="s">
        <v>58</v>
      </c>
      <c r="I98" s="11" t="s">
        <v>54</v>
      </c>
      <c r="J98" s="11"/>
      <c r="K98" s="14"/>
      <c r="L98" s="14"/>
      <c r="M98" s="14"/>
      <c r="N98" s="14"/>
      <c r="O98" s="14"/>
      <c r="P98" s="14"/>
      <c r="Q98" s="15"/>
    </row>
    <row r="99" customFormat="false" ht="15" hidden="false" customHeight="false" outlineLevel="0" collapsed="false">
      <c r="A99" s="11" t="n">
        <v>98</v>
      </c>
      <c r="B99" s="12" t="s">
        <v>55</v>
      </c>
      <c r="C99" s="11" t="s">
        <v>297</v>
      </c>
      <c r="D99" s="11" t="s">
        <v>298</v>
      </c>
      <c r="E99" s="12" t="s">
        <v>246</v>
      </c>
      <c r="F99" s="12" t="s">
        <v>247</v>
      </c>
      <c r="G99" s="13" t="s">
        <v>52</v>
      </c>
      <c r="H99" s="12" t="s">
        <v>58</v>
      </c>
      <c r="I99" s="11" t="s">
        <v>54</v>
      </c>
      <c r="J99" s="11"/>
      <c r="K99" s="14"/>
      <c r="L99" s="14"/>
      <c r="M99" s="14"/>
      <c r="N99" s="14"/>
      <c r="O99" s="14"/>
      <c r="P99" s="14"/>
      <c r="Q99" s="15"/>
    </row>
    <row r="100" customFormat="false" ht="26.85" hidden="false" customHeight="false" outlineLevel="0" collapsed="false">
      <c r="A100" s="11" t="n">
        <v>99</v>
      </c>
      <c r="B100" s="12" t="s">
        <v>59</v>
      </c>
      <c r="C100" s="11" t="s">
        <v>299</v>
      </c>
      <c r="D100" s="11" t="s">
        <v>300</v>
      </c>
      <c r="E100" s="12" t="s">
        <v>246</v>
      </c>
      <c r="F100" s="12" t="s">
        <v>247</v>
      </c>
      <c r="G100" s="13" t="s">
        <v>52</v>
      </c>
      <c r="H100" s="12" t="s">
        <v>58</v>
      </c>
      <c r="I100" s="11" t="s">
        <v>54</v>
      </c>
      <c r="J100" s="11"/>
      <c r="K100" s="14"/>
      <c r="L100" s="14"/>
      <c r="M100" s="14"/>
      <c r="N100" s="14"/>
      <c r="O100" s="14"/>
      <c r="P100" s="14"/>
      <c r="Q100" s="15"/>
    </row>
    <row r="101" customFormat="false" ht="15" hidden="false" customHeight="false" outlineLevel="0" collapsed="false">
      <c r="A101" s="11" t="n">
        <v>100</v>
      </c>
      <c r="B101" s="12" t="s">
        <v>63</v>
      </c>
      <c r="C101" s="11" t="s">
        <v>301</v>
      </c>
      <c r="D101" s="11" t="s">
        <v>302</v>
      </c>
      <c r="E101" s="12" t="s">
        <v>246</v>
      </c>
      <c r="F101" s="12" t="s">
        <v>247</v>
      </c>
      <c r="G101" s="13" t="s">
        <v>52</v>
      </c>
      <c r="H101" s="12" t="s">
        <v>58</v>
      </c>
      <c r="I101" s="12" t="s">
        <v>240</v>
      </c>
      <c r="J101" s="11" t="s">
        <v>241</v>
      </c>
      <c r="K101" s="14"/>
      <c r="L101" s="14"/>
      <c r="M101" s="14"/>
      <c r="N101" s="14"/>
      <c r="O101" s="14"/>
      <c r="P101" s="14"/>
      <c r="Q101" s="15"/>
    </row>
    <row r="102" customFormat="false" ht="26.85" hidden="false" customHeight="false" outlineLevel="0" collapsed="false">
      <c r="A102" s="11" t="n">
        <v>101</v>
      </c>
      <c r="B102" s="12" t="s">
        <v>47</v>
      </c>
      <c r="C102" s="11" t="s">
        <v>303</v>
      </c>
      <c r="D102" s="11" t="s">
        <v>304</v>
      </c>
      <c r="E102" s="12" t="s">
        <v>246</v>
      </c>
      <c r="F102" s="12" t="s">
        <v>247</v>
      </c>
      <c r="G102" s="13" t="s">
        <v>52</v>
      </c>
      <c r="H102" s="12" t="s">
        <v>58</v>
      </c>
      <c r="I102" s="12" t="s">
        <v>305</v>
      </c>
      <c r="J102" s="11" t="s">
        <v>306</v>
      </c>
      <c r="K102" s="14"/>
      <c r="L102" s="14"/>
      <c r="M102" s="14"/>
      <c r="N102" s="14"/>
      <c r="O102" s="14"/>
      <c r="P102" s="14"/>
      <c r="Q102" s="15"/>
    </row>
    <row r="103" customFormat="false" ht="26.85" hidden="false" customHeight="false" outlineLevel="0" collapsed="false">
      <c r="A103" s="11" t="n">
        <v>102</v>
      </c>
      <c r="B103" s="12" t="s">
        <v>55</v>
      </c>
      <c r="C103" s="11" t="s">
        <v>307</v>
      </c>
      <c r="D103" s="11" t="s">
        <v>308</v>
      </c>
      <c r="E103" s="12" t="s">
        <v>246</v>
      </c>
      <c r="F103" s="12" t="s">
        <v>247</v>
      </c>
      <c r="G103" s="13" t="s">
        <v>52</v>
      </c>
      <c r="H103" s="12" t="s">
        <v>89</v>
      </c>
      <c r="I103" s="12" t="s">
        <v>94</v>
      </c>
      <c r="J103" s="12" t="s">
        <v>309</v>
      </c>
      <c r="K103" s="14"/>
      <c r="L103" s="14"/>
      <c r="M103" s="14"/>
      <c r="N103" s="14"/>
      <c r="O103" s="14"/>
      <c r="P103" s="14"/>
      <c r="Q103" s="15"/>
    </row>
    <row r="104" customFormat="false" ht="15" hidden="false" customHeight="false" outlineLevel="0" collapsed="false">
      <c r="A104" s="11" t="n">
        <v>103</v>
      </c>
      <c r="B104" s="12" t="s">
        <v>59</v>
      </c>
      <c r="C104" s="11" t="s">
        <v>310</v>
      </c>
      <c r="D104" s="11" t="s">
        <v>311</v>
      </c>
      <c r="E104" s="12" t="s">
        <v>246</v>
      </c>
      <c r="F104" s="12" t="s">
        <v>247</v>
      </c>
      <c r="G104" s="13" t="s">
        <v>52</v>
      </c>
      <c r="H104" s="12" t="s">
        <v>82</v>
      </c>
      <c r="I104" s="12" t="s">
        <v>108</v>
      </c>
      <c r="J104" s="12" t="s">
        <v>162</v>
      </c>
      <c r="K104" s="14"/>
      <c r="L104" s="14"/>
      <c r="M104" s="14"/>
      <c r="N104" s="14"/>
      <c r="O104" s="14"/>
      <c r="P104" s="14"/>
      <c r="Q104" s="15"/>
    </row>
    <row r="105" customFormat="false" ht="15" hidden="false" customHeight="false" outlineLevel="0" collapsed="false">
      <c r="A105" s="11" t="n">
        <v>104</v>
      </c>
      <c r="B105" s="12" t="s">
        <v>63</v>
      </c>
      <c r="C105" s="11" t="s">
        <v>312</v>
      </c>
      <c r="D105" s="11" t="s">
        <v>313</v>
      </c>
      <c r="E105" s="12" t="s">
        <v>246</v>
      </c>
      <c r="F105" s="12" t="s">
        <v>247</v>
      </c>
      <c r="G105" s="13" t="s">
        <v>52</v>
      </c>
      <c r="H105" s="12" t="s">
        <v>82</v>
      </c>
      <c r="I105" s="12" t="s">
        <v>108</v>
      </c>
      <c r="J105" s="12" t="s">
        <v>109</v>
      </c>
      <c r="K105" s="14"/>
      <c r="L105" s="14"/>
      <c r="M105" s="14"/>
      <c r="N105" s="14"/>
      <c r="O105" s="14"/>
      <c r="P105" s="14"/>
      <c r="Q105" s="15"/>
    </row>
    <row r="106" customFormat="false" ht="15" hidden="false" customHeight="false" outlineLevel="0" collapsed="false">
      <c r="A106" s="11" t="n">
        <v>105</v>
      </c>
      <c r="B106" s="12" t="s">
        <v>47</v>
      </c>
      <c r="C106" s="11" t="s">
        <v>314</v>
      </c>
      <c r="D106" s="11" t="s">
        <v>315</v>
      </c>
      <c r="E106" s="12" t="s">
        <v>246</v>
      </c>
      <c r="F106" s="12" t="s">
        <v>247</v>
      </c>
      <c r="G106" s="13" t="s">
        <v>52</v>
      </c>
      <c r="H106" s="12" t="s">
        <v>82</v>
      </c>
      <c r="I106" s="12" t="s">
        <v>108</v>
      </c>
      <c r="J106" s="12" t="s">
        <v>316</v>
      </c>
      <c r="K106" s="14"/>
      <c r="L106" s="14"/>
      <c r="M106" s="14"/>
      <c r="N106" s="14"/>
      <c r="O106" s="14"/>
      <c r="P106" s="14"/>
      <c r="Q106" s="15"/>
    </row>
    <row r="107" customFormat="false" ht="26.85" hidden="false" customHeight="false" outlineLevel="0" collapsed="false">
      <c r="A107" s="11" t="n">
        <v>106</v>
      </c>
      <c r="B107" s="12" t="s">
        <v>55</v>
      </c>
      <c r="C107" s="11" t="s">
        <v>317</v>
      </c>
      <c r="D107" s="11" t="s">
        <v>318</v>
      </c>
      <c r="E107" s="12" t="s">
        <v>246</v>
      </c>
      <c r="F107" s="12" t="s">
        <v>247</v>
      </c>
      <c r="G107" s="13" t="s">
        <v>52</v>
      </c>
      <c r="H107" s="12" t="s">
        <v>102</v>
      </c>
      <c r="I107" s="12" t="s">
        <v>103</v>
      </c>
      <c r="J107" s="12" t="s">
        <v>319</v>
      </c>
      <c r="K107" s="14"/>
      <c r="L107" s="14"/>
      <c r="M107" s="14"/>
      <c r="N107" s="14"/>
      <c r="O107" s="14"/>
      <c r="P107" s="14"/>
      <c r="Q107" s="15"/>
    </row>
    <row r="108" customFormat="false" ht="26.85" hidden="false" customHeight="false" outlineLevel="0" collapsed="false">
      <c r="A108" s="11" t="n">
        <v>107</v>
      </c>
      <c r="B108" s="12" t="s">
        <v>59</v>
      </c>
      <c r="C108" s="11" t="s">
        <v>320</v>
      </c>
      <c r="D108" s="11" t="s">
        <v>321</v>
      </c>
      <c r="E108" s="12" t="s">
        <v>246</v>
      </c>
      <c r="F108" s="12" t="s">
        <v>247</v>
      </c>
      <c r="G108" s="13" t="s">
        <v>52</v>
      </c>
      <c r="H108" s="12" t="s">
        <v>89</v>
      </c>
      <c r="I108" s="12" t="s">
        <v>94</v>
      </c>
      <c r="J108" s="12" t="s">
        <v>309</v>
      </c>
      <c r="K108" s="14"/>
      <c r="L108" s="14"/>
      <c r="M108" s="14"/>
      <c r="N108" s="14"/>
      <c r="O108" s="14"/>
      <c r="P108" s="14"/>
      <c r="Q108" s="15"/>
    </row>
    <row r="109" customFormat="false" ht="15" hidden="false" customHeight="false" outlineLevel="0" collapsed="false">
      <c r="A109" s="11" t="n">
        <v>108</v>
      </c>
      <c r="B109" s="12" t="s">
        <v>63</v>
      </c>
      <c r="C109" s="11" t="s">
        <v>322</v>
      </c>
      <c r="D109" s="11" t="s">
        <v>323</v>
      </c>
      <c r="E109" s="12" t="s">
        <v>246</v>
      </c>
      <c r="F109" s="12" t="s">
        <v>247</v>
      </c>
      <c r="G109" s="13" t="s">
        <v>52</v>
      </c>
      <c r="H109" s="12" t="s">
        <v>82</v>
      </c>
      <c r="I109" s="12" t="s">
        <v>108</v>
      </c>
      <c r="J109" s="12" t="s">
        <v>316</v>
      </c>
      <c r="K109" s="14"/>
      <c r="L109" s="14"/>
      <c r="M109" s="14"/>
      <c r="N109" s="14"/>
      <c r="O109" s="14"/>
      <c r="P109" s="14"/>
      <c r="Q109" s="15"/>
    </row>
    <row r="110" customFormat="false" ht="15" hidden="false" customHeight="false" outlineLevel="0" collapsed="false">
      <c r="A110" s="11" t="n">
        <v>109</v>
      </c>
      <c r="B110" s="12" t="s">
        <v>47</v>
      </c>
      <c r="C110" s="11" t="s">
        <v>324</v>
      </c>
      <c r="D110" s="11" t="s">
        <v>325</v>
      </c>
      <c r="E110" s="12" t="s">
        <v>246</v>
      </c>
      <c r="F110" s="12" t="s">
        <v>247</v>
      </c>
      <c r="G110" s="13" t="s">
        <v>52</v>
      </c>
      <c r="H110" s="12" t="s">
        <v>82</v>
      </c>
      <c r="I110" s="12" t="s">
        <v>108</v>
      </c>
      <c r="J110" s="12" t="s">
        <v>316</v>
      </c>
      <c r="K110" s="14"/>
      <c r="L110" s="14"/>
      <c r="M110" s="14"/>
      <c r="N110" s="14"/>
      <c r="O110" s="14"/>
      <c r="P110" s="14"/>
      <c r="Q110" s="15"/>
    </row>
    <row r="111" customFormat="false" ht="26.85" hidden="false" customHeight="false" outlineLevel="0" collapsed="false">
      <c r="A111" s="11" t="n">
        <v>110</v>
      </c>
      <c r="B111" s="12" t="s">
        <v>55</v>
      </c>
      <c r="C111" s="11" t="s">
        <v>326</v>
      </c>
      <c r="D111" s="11" t="s">
        <v>327</v>
      </c>
      <c r="E111" s="12" t="s">
        <v>246</v>
      </c>
      <c r="F111" s="12" t="s">
        <v>247</v>
      </c>
      <c r="G111" s="13" t="s">
        <v>52</v>
      </c>
      <c r="H111" s="12" t="s">
        <v>58</v>
      </c>
      <c r="I111" s="11" t="s">
        <v>54</v>
      </c>
      <c r="J111" s="11"/>
      <c r="K111" s="14"/>
      <c r="L111" s="14"/>
      <c r="M111" s="14"/>
      <c r="N111" s="14"/>
      <c r="O111" s="14"/>
      <c r="P111" s="14"/>
      <c r="Q111" s="15"/>
    </row>
    <row r="112" customFormat="false" ht="25.35" hidden="false" customHeight="false" outlineLevel="0" collapsed="false">
      <c r="A112" s="11" t="n">
        <v>111</v>
      </c>
      <c r="B112" s="12" t="s">
        <v>59</v>
      </c>
      <c r="C112" s="11" t="s">
        <v>328</v>
      </c>
      <c r="D112" s="12" t="s">
        <v>329</v>
      </c>
      <c r="E112" s="12" t="s">
        <v>330</v>
      </c>
      <c r="F112" s="12" t="s">
        <v>331</v>
      </c>
      <c r="G112" s="13" t="s">
        <v>52</v>
      </c>
      <c r="H112" s="12" t="s">
        <v>58</v>
      </c>
      <c r="I112" s="11" t="s">
        <v>54</v>
      </c>
      <c r="J112" s="11"/>
      <c r="K112" s="14"/>
      <c r="L112" s="14"/>
      <c r="M112" s="14"/>
      <c r="N112" s="14"/>
      <c r="O112" s="14"/>
      <c r="P112" s="14"/>
      <c r="Q112" s="15"/>
    </row>
    <row r="113" customFormat="false" ht="25.35" hidden="false" customHeight="false" outlineLevel="0" collapsed="false">
      <c r="A113" s="11" t="n">
        <v>112</v>
      </c>
      <c r="B113" s="12" t="s">
        <v>63</v>
      </c>
      <c r="C113" s="11" t="s">
        <v>332</v>
      </c>
      <c r="D113" s="11" t="s">
        <v>333</v>
      </c>
      <c r="E113" s="12" t="s">
        <v>330</v>
      </c>
      <c r="F113" s="12" t="s">
        <v>331</v>
      </c>
      <c r="G113" s="13" t="s">
        <v>52</v>
      </c>
      <c r="H113" s="12" t="s">
        <v>58</v>
      </c>
      <c r="I113" s="11" t="s">
        <v>54</v>
      </c>
      <c r="J113" s="11"/>
      <c r="K113" s="14"/>
      <c r="L113" s="14"/>
      <c r="M113" s="14"/>
      <c r="N113" s="14"/>
      <c r="O113" s="14"/>
      <c r="P113" s="14"/>
      <c r="Q113" s="15"/>
    </row>
    <row r="114" customFormat="false" ht="26.85" hidden="false" customHeight="false" outlineLevel="0" collapsed="false">
      <c r="A114" s="11" t="n">
        <v>113</v>
      </c>
      <c r="B114" s="12" t="s">
        <v>47</v>
      </c>
      <c r="C114" s="11" t="s">
        <v>334</v>
      </c>
      <c r="D114" s="12" t="s">
        <v>335</v>
      </c>
      <c r="E114" s="12" t="s">
        <v>330</v>
      </c>
      <c r="F114" s="12" t="s">
        <v>331</v>
      </c>
      <c r="G114" s="13" t="s">
        <v>52</v>
      </c>
      <c r="H114" s="12" t="s">
        <v>58</v>
      </c>
      <c r="I114" s="11" t="s">
        <v>54</v>
      </c>
      <c r="J114" s="11"/>
      <c r="K114" s="14"/>
      <c r="L114" s="14"/>
      <c r="M114" s="14"/>
      <c r="N114" s="14"/>
      <c r="O114" s="14"/>
      <c r="P114" s="14"/>
      <c r="Q114" s="15"/>
    </row>
    <row r="115" customFormat="false" ht="25.35" hidden="false" customHeight="false" outlineLevel="0" collapsed="false">
      <c r="A115" s="11" t="n">
        <v>114</v>
      </c>
      <c r="B115" s="12" t="s">
        <v>55</v>
      </c>
      <c r="C115" s="11" t="s">
        <v>336</v>
      </c>
      <c r="D115" s="11" t="s">
        <v>337</v>
      </c>
      <c r="E115" s="12" t="s">
        <v>330</v>
      </c>
      <c r="F115" s="12" t="s">
        <v>331</v>
      </c>
      <c r="G115" s="13" t="s">
        <v>52</v>
      </c>
      <c r="H115" s="12" t="s">
        <v>89</v>
      </c>
      <c r="I115" s="12" t="s">
        <v>94</v>
      </c>
      <c r="J115" s="12" t="s">
        <v>118</v>
      </c>
      <c r="K115" s="14"/>
      <c r="L115" s="14"/>
      <c r="M115" s="14"/>
      <c r="N115" s="14"/>
      <c r="O115" s="14"/>
      <c r="P115" s="14"/>
      <c r="Q115" s="15"/>
    </row>
    <row r="116" customFormat="false" ht="25.35" hidden="false" customHeight="false" outlineLevel="0" collapsed="false">
      <c r="A116" s="11" t="n">
        <v>115</v>
      </c>
      <c r="B116" s="12" t="s">
        <v>59</v>
      </c>
      <c r="C116" s="11" t="s">
        <v>338</v>
      </c>
      <c r="D116" s="11" t="s">
        <v>339</v>
      </c>
      <c r="E116" s="12" t="s">
        <v>330</v>
      </c>
      <c r="F116" s="12" t="s">
        <v>331</v>
      </c>
      <c r="G116" s="13" t="s">
        <v>52</v>
      </c>
      <c r="H116" s="12" t="s">
        <v>58</v>
      </c>
      <c r="I116" s="12" t="s">
        <v>240</v>
      </c>
      <c r="J116" s="11" t="s">
        <v>340</v>
      </c>
      <c r="K116" s="14"/>
      <c r="L116" s="14"/>
      <c r="M116" s="14"/>
      <c r="N116" s="14"/>
      <c r="O116" s="14"/>
      <c r="P116" s="14"/>
      <c r="Q116" s="15"/>
    </row>
    <row r="117" customFormat="false" ht="25.35" hidden="false" customHeight="false" outlineLevel="0" collapsed="false">
      <c r="A117" s="11" t="n">
        <v>116</v>
      </c>
      <c r="B117" s="12" t="s">
        <v>63</v>
      </c>
      <c r="C117" s="11" t="s">
        <v>341</v>
      </c>
      <c r="D117" s="11" t="s">
        <v>342</v>
      </c>
      <c r="E117" s="12" t="s">
        <v>330</v>
      </c>
      <c r="F117" s="12" t="s">
        <v>331</v>
      </c>
      <c r="G117" s="13" t="s">
        <v>52</v>
      </c>
      <c r="H117" s="12" t="s">
        <v>102</v>
      </c>
      <c r="I117" s="12" t="s">
        <v>103</v>
      </c>
      <c r="J117" s="12" t="s">
        <v>191</v>
      </c>
      <c r="K117" s="14"/>
      <c r="L117" s="14"/>
      <c r="M117" s="14"/>
      <c r="N117" s="14"/>
      <c r="O117" s="14"/>
      <c r="P117" s="14"/>
      <c r="Q117" s="15"/>
    </row>
    <row r="118" customFormat="false" ht="25.35" hidden="false" customHeight="false" outlineLevel="0" collapsed="false">
      <c r="A118" s="11" t="n">
        <v>117</v>
      </c>
      <c r="B118" s="12" t="s">
        <v>47</v>
      </c>
      <c r="C118" s="11" t="s">
        <v>343</v>
      </c>
      <c r="D118" s="11" t="s">
        <v>344</v>
      </c>
      <c r="E118" s="12" t="s">
        <v>330</v>
      </c>
      <c r="F118" s="12" t="s">
        <v>331</v>
      </c>
      <c r="G118" s="13" t="s">
        <v>52</v>
      </c>
      <c r="H118" s="12" t="s">
        <v>82</v>
      </c>
      <c r="I118" s="12" t="s">
        <v>108</v>
      </c>
      <c r="J118" s="12" t="s">
        <v>109</v>
      </c>
      <c r="K118" s="14"/>
      <c r="L118" s="14"/>
      <c r="M118" s="14"/>
      <c r="N118" s="14"/>
      <c r="O118" s="14"/>
      <c r="P118" s="14"/>
      <c r="Q118" s="15"/>
    </row>
    <row r="119" customFormat="false" ht="25.35" hidden="false" customHeight="false" outlineLevel="0" collapsed="false">
      <c r="A119" s="11" t="n">
        <v>118</v>
      </c>
      <c r="B119" s="12" t="s">
        <v>55</v>
      </c>
      <c r="C119" s="11" t="s">
        <v>345</v>
      </c>
      <c r="D119" s="11" t="s">
        <v>346</v>
      </c>
      <c r="E119" s="12" t="s">
        <v>330</v>
      </c>
      <c r="F119" s="12" t="s">
        <v>331</v>
      </c>
      <c r="G119" s="13" t="s">
        <v>52</v>
      </c>
      <c r="H119" s="12" t="s">
        <v>58</v>
      </c>
      <c r="I119" s="11" t="s">
        <v>54</v>
      </c>
      <c r="J119" s="11"/>
      <c r="K119" s="14"/>
      <c r="L119" s="14"/>
      <c r="M119" s="14"/>
      <c r="N119" s="14"/>
      <c r="O119" s="14"/>
      <c r="P119" s="14"/>
      <c r="Q119" s="15"/>
    </row>
    <row r="120" customFormat="false" ht="25.35" hidden="false" customHeight="false" outlineLevel="0" collapsed="false">
      <c r="A120" s="11" t="n">
        <v>119</v>
      </c>
      <c r="B120" s="12" t="s">
        <v>59</v>
      </c>
      <c r="C120" s="11" t="s">
        <v>347</v>
      </c>
      <c r="D120" s="12" t="s">
        <v>348</v>
      </c>
      <c r="E120" s="12" t="s">
        <v>330</v>
      </c>
      <c r="F120" s="12" t="s">
        <v>331</v>
      </c>
      <c r="G120" s="13" t="s">
        <v>52</v>
      </c>
      <c r="H120" s="12" t="s">
        <v>102</v>
      </c>
      <c r="I120" s="12" t="s">
        <v>103</v>
      </c>
      <c r="J120" s="12" t="s">
        <v>349</v>
      </c>
      <c r="K120" s="14"/>
      <c r="L120" s="14"/>
      <c r="M120" s="14"/>
      <c r="N120" s="14"/>
      <c r="O120" s="14"/>
      <c r="P120" s="14"/>
      <c r="Q120" s="15"/>
    </row>
    <row r="121" customFormat="false" ht="25.35" hidden="false" customHeight="false" outlineLevel="0" collapsed="false">
      <c r="A121" s="11" t="n">
        <v>120</v>
      </c>
      <c r="B121" s="12" t="s">
        <v>63</v>
      </c>
      <c r="C121" s="11" t="s">
        <v>350</v>
      </c>
      <c r="D121" s="11" t="s">
        <v>351</v>
      </c>
      <c r="E121" s="12" t="s">
        <v>330</v>
      </c>
      <c r="F121" s="12" t="s">
        <v>331</v>
      </c>
      <c r="G121" s="13" t="s">
        <v>52</v>
      </c>
      <c r="H121" s="12" t="s">
        <v>89</v>
      </c>
      <c r="I121" s="12" t="s">
        <v>94</v>
      </c>
      <c r="J121" s="12" t="s">
        <v>95</v>
      </c>
      <c r="K121" s="14"/>
      <c r="L121" s="14"/>
      <c r="M121" s="14"/>
      <c r="N121" s="14"/>
      <c r="O121" s="14"/>
      <c r="P121" s="14"/>
      <c r="Q121" s="15"/>
    </row>
    <row r="122" customFormat="false" ht="25.35" hidden="false" customHeight="false" outlineLevel="0" collapsed="false">
      <c r="A122" s="11" t="n">
        <v>121</v>
      </c>
      <c r="B122" s="12" t="s">
        <v>47</v>
      </c>
      <c r="C122" s="11" t="s">
        <v>352</v>
      </c>
      <c r="D122" s="12" t="s">
        <v>353</v>
      </c>
      <c r="E122" s="12" t="s">
        <v>330</v>
      </c>
      <c r="F122" s="12" t="s">
        <v>331</v>
      </c>
      <c r="G122" s="13" t="s">
        <v>52</v>
      </c>
      <c r="H122" s="12" t="s">
        <v>58</v>
      </c>
      <c r="I122" s="11" t="s">
        <v>54</v>
      </c>
      <c r="J122" s="11"/>
      <c r="K122" s="14"/>
      <c r="L122" s="14"/>
      <c r="M122" s="14"/>
      <c r="N122" s="14"/>
      <c r="O122" s="14"/>
      <c r="P122" s="14"/>
      <c r="Q122" s="15"/>
    </row>
    <row r="123" customFormat="false" ht="26.85" hidden="false" customHeight="false" outlineLevel="0" collapsed="false">
      <c r="A123" s="11" t="n">
        <v>122</v>
      </c>
      <c r="B123" s="12" t="s">
        <v>55</v>
      </c>
      <c r="C123" s="11" t="s">
        <v>354</v>
      </c>
      <c r="D123" s="12" t="s">
        <v>355</v>
      </c>
      <c r="E123" s="12" t="s">
        <v>330</v>
      </c>
      <c r="F123" s="12" t="s">
        <v>331</v>
      </c>
      <c r="G123" s="13" t="s">
        <v>52</v>
      </c>
      <c r="H123" s="12" t="s">
        <v>53</v>
      </c>
      <c r="I123" s="11" t="s">
        <v>54</v>
      </c>
      <c r="J123" s="11"/>
      <c r="K123" s="14"/>
      <c r="L123" s="14"/>
      <c r="M123" s="14"/>
      <c r="N123" s="14"/>
      <c r="O123" s="14"/>
      <c r="P123" s="14"/>
      <c r="Q123" s="15"/>
    </row>
    <row r="124" customFormat="false" ht="25.35" hidden="false" customHeight="false" outlineLevel="0" collapsed="false">
      <c r="A124" s="11" t="n">
        <v>123</v>
      </c>
      <c r="B124" s="12" t="s">
        <v>59</v>
      </c>
      <c r="C124" s="11" t="s">
        <v>356</v>
      </c>
      <c r="D124" s="11" t="s">
        <v>357</v>
      </c>
      <c r="E124" s="12" t="s">
        <v>330</v>
      </c>
      <c r="F124" s="12" t="s">
        <v>331</v>
      </c>
      <c r="G124" s="13" t="s">
        <v>52</v>
      </c>
      <c r="H124" s="12" t="s">
        <v>58</v>
      </c>
      <c r="I124" s="12" t="s">
        <v>240</v>
      </c>
      <c r="J124" s="11" t="s">
        <v>241</v>
      </c>
      <c r="K124" s="14"/>
      <c r="L124" s="14"/>
      <c r="M124" s="14"/>
      <c r="N124" s="14"/>
      <c r="O124" s="14"/>
      <c r="P124" s="14"/>
      <c r="Q124" s="15"/>
    </row>
    <row r="125" customFormat="false" ht="26.85" hidden="false" customHeight="false" outlineLevel="0" collapsed="false">
      <c r="A125" s="11" t="n">
        <v>124</v>
      </c>
      <c r="B125" s="12" t="s">
        <v>63</v>
      </c>
      <c r="C125" s="11" t="s">
        <v>358</v>
      </c>
      <c r="D125" s="11" t="s">
        <v>359</v>
      </c>
      <c r="E125" s="12" t="s">
        <v>330</v>
      </c>
      <c r="F125" s="12" t="s">
        <v>331</v>
      </c>
      <c r="G125" s="13" t="s">
        <v>52</v>
      </c>
      <c r="H125" s="12" t="s">
        <v>58</v>
      </c>
      <c r="I125" s="11" t="s">
        <v>54</v>
      </c>
      <c r="J125" s="11"/>
      <c r="K125" s="14"/>
      <c r="L125" s="14"/>
      <c r="M125" s="14"/>
      <c r="N125" s="14"/>
      <c r="O125" s="14"/>
      <c r="P125" s="14"/>
      <c r="Q125" s="15"/>
    </row>
    <row r="126" customFormat="false" ht="25.35" hidden="false" customHeight="false" outlineLevel="0" collapsed="false">
      <c r="A126" s="11" t="n">
        <v>125</v>
      </c>
      <c r="B126" s="12" t="s">
        <v>47</v>
      </c>
      <c r="C126" s="11" t="s">
        <v>360</v>
      </c>
      <c r="D126" s="11" t="s">
        <v>361</v>
      </c>
      <c r="E126" s="12" t="s">
        <v>330</v>
      </c>
      <c r="F126" s="12" t="s">
        <v>331</v>
      </c>
      <c r="G126" s="13" t="s">
        <v>52</v>
      </c>
      <c r="H126" s="12" t="s">
        <v>58</v>
      </c>
      <c r="I126" s="11" t="s">
        <v>54</v>
      </c>
      <c r="J126" s="11"/>
      <c r="K126" s="14"/>
      <c r="L126" s="14"/>
      <c r="M126" s="14"/>
      <c r="N126" s="14"/>
      <c r="O126" s="14"/>
      <c r="P126" s="14"/>
      <c r="Q126" s="15"/>
    </row>
    <row r="127" customFormat="false" ht="25.35" hidden="false" customHeight="false" outlineLevel="0" collapsed="false">
      <c r="A127" s="11" t="n">
        <v>126</v>
      </c>
      <c r="B127" s="12" t="s">
        <v>55</v>
      </c>
      <c r="C127" s="11" t="s">
        <v>362</v>
      </c>
      <c r="D127" s="11" t="s">
        <v>363</v>
      </c>
      <c r="E127" s="12" t="s">
        <v>330</v>
      </c>
      <c r="F127" s="12" t="s">
        <v>331</v>
      </c>
      <c r="G127" s="13" t="s">
        <v>52</v>
      </c>
      <c r="H127" s="12" t="s">
        <v>58</v>
      </c>
      <c r="I127" s="12" t="s">
        <v>240</v>
      </c>
      <c r="J127" s="11" t="s">
        <v>364</v>
      </c>
      <c r="K127" s="14"/>
      <c r="L127" s="14"/>
      <c r="M127" s="14"/>
      <c r="N127" s="14"/>
      <c r="O127" s="14"/>
      <c r="P127" s="14"/>
      <c r="Q127" s="15"/>
    </row>
    <row r="128" customFormat="false" ht="25.35" hidden="false" customHeight="false" outlineLevel="0" collapsed="false">
      <c r="A128" s="11" t="n">
        <v>127</v>
      </c>
      <c r="B128" s="12" t="s">
        <v>59</v>
      </c>
      <c r="C128" s="11" t="s">
        <v>365</v>
      </c>
      <c r="D128" s="11" t="s">
        <v>366</v>
      </c>
      <c r="E128" s="12" t="s">
        <v>330</v>
      </c>
      <c r="F128" s="12" t="s">
        <v>331</v>
      </c>
      <c r="G128" s="13" t="s">
        <v>52</v>
      </c>
      <c r="H128" s="12" t="s">
        <v>58</v>
      </c>
      <c r="I128" s="11" t="s">
        <v>54</v>
      </c>
      <c r="J128" s="11"/>
      <c r="K128" s="14"/>
      <c r="L128" s="14"/>
      <c r="M128" s="14"/>
      <c r="N128" s="14"/>
      <c r="O128" s="14"/>
      <c r="P128" s="14"/>
      <c r="Q128" s="15"/>
    </row>
    <row r="129" customFormat="false" ht="25.35" hidden="false" customHeight="false" outlineLevel="0" collapsed="false">
      <c r="A129" s="11" t="n">
        <v>128</v>
      </c>
      <c r="B129" s="12" t="s">
        <v>63</v>
      </c>
      <c r="C129" s="11" t="s">
        <v>367</v>
      </c>
      <c r="D129" s="12" t="s">
        <v>368</v>
      </c>
      <c r="E129" s="12" t="s">
        <v>330</v>
      </c>
      <c r="F129" s="12" t="s">
        <v>331</v>
      </c>
      <c r="G129" s="13" t="s">
        <v>52</v>
      </c>
      <c r="H129" s="12" t="s">
        <v>89</v>
      </c>
      <c r="I129" s="12" t="s">
        <v>94</v>
      </c>
      <c r="J129" s="12" t="s">
        <v>369</v>
      </c>
      <c r="K129" s="14"/>
      <c r="L129" s="14"/>
      <c r="M129" s="14"/>
      <c r="N129" s="14"/>
      <c r="O129" s="14"/>
      <c r="P129" s="14"/>
      <c r="Q129" s="15"/>
    </row>
    <row r="130" customFormat="false" ht="25.35" hidden="false" customHeight="false" outlineLevel="0" collapsed="false">
      <c r="A130" s="11" t="n">
        <v>129</v>
      </c>
      <c r="B130" s="12" t="s">
        <v>47</v>
      </c>
      <c r="C130" s="11" t="s">
        <v>370</v>
      </c>
      <c r="D130" s="11" t="s">
        <v>371</v>
      </c>
      <c r="E130" s="12" t="s">
        <v>330</v>
      </c>
      <c r="F130" s="12" t="s">
        <v>331</v>
      </c>
      <c r="G130" s="13" t="s">
        <v>52</v>
      </c>
      <c r="H130" s="12" t="s">
        <v>58</v>
      </c>
      <c r="I130" s="11" t="s">
        <v>54</v>
      </c>
      <c r="J130" s="11"/>
      <c r="K130" s="14"/>
      <c r="L130" s="14"/>
      <c r="M130" s="14"/>
      <c r="N130" s="14"/>
      <c r="O130" s="14"/>
      <c r="P130" s="14"/>
      <c r="Q130" s="15"/>
    </row>
    <row r="131" customFormat="false" ht="25.35" hidden="false" customHeight="false" outlineLevel="0" collapsed="false">
      <c r="A131" s="11" t="n">
        <v>130</v>
      </c>
      <c r="B131" s="12" t="s">
        <v>55</v>
      </c>
      <c r="C131" s="11" t="s">
        <v>372</v>
      </c>
      <c r="D131" s="12" t="s">
        <v>373</v>
      </c>
      <c r="E131" s="12" t="s">
        <v>330</v>
      </c>
      <c r="F131" s="12" t="s">
        <v>331</v>
      </c>
      <c r="G131" s="13" t="s">
        <v>52</v>
      </c>
      <c r="H131" s="12" t="s">
        <v>82</v>
      </c>
      <c r="I131" s="12" t="s">
        <v>108</v>
      </c>
      <c r="J131" s="12" t="s">
        <v>374</v>
      </c>
      <c r="K131" s="14"/>
      <c r="L131" s="14"/>
      <c r="M131" s="14"/>
      <c r="N131" s="14"/>
      <c r="O131" s="14"/>
      <c r="P131" s="14"/>
      <c r="Q131" s="15"/>
    </row>
    <row r="132" customFormat="false" ht="25.35" hidden="false" customHeight="false" outlineLevel="0" collapsed="false">
      <c r="A132" s="11" t="n">
        <v>131</v>
      </c>
      <c r="B132" s="12" t="s">
        <v>59</v>
      </c>
      <c r="C132" s="11" t="s">
        <v>375</v>
      </c>
      <c r="D132" s="11" t="s">
        <v>376</v>
      </c>
      <c r="E132" s="12" t="s">
        <v>330</v>
      </c>
      <c r="F132" s="12" t="s">
        <v>331</v>
      </c>
      <c r="G132" s="13" t="s">
        <v>52</v>
      </c>
      <c r="H132" s="12" t="s">
        <v>58</v>
      </c>
      <c r="I132" s="11" t="s">
        <v>54</v>
      </c>
      <c r="J132" s="11"/>
      <c r="K132" s="14"/>
      <c r="L132" s="14"/>
      <c r="M132" s="14"/>
      <c r="N132" s="14"/>
      <c r="O132" s="14"/>
      <c r="P132" s="14"/>
      <c r="Q132" s="15"/>
    </row>
    <row r="133" customFormat="false" ht="25.35" hidden="false" customHeight="false" outlineLevel="0" collapsed="false">
      <c r="A133" s="11" t="n">
        <v>132</v>
      </c>
      <c r="B133" s="12" t="s">
        <v>63</v>
      </c>
      <c r="C133" s="11" t="s">
        <v>377</v>
      </c>
      <c r="D133" s="11" t="s">
        <v>378</v>
      </c>
      <c r="E133" s="12" t="s">
        <v>330</v>
      </c>
      <c r="F133" s="12" t="s">
        <v>331</v>
      </c>
      <c r="G133" s="13" t="s">
        <v>52</v>
      </c>
      <c r="H133" s="12" t="s">
        <v>58</v>
      </c>
      <c r="I133" s="12" t="s">
        <v>240</v>
      </c>
      <c r="J133" s="11" t="s">
        <v>241</v>
      </c>
      <c r="K133" s="14"/>
      <c r="L133" s="14"/>
      <c r="M133" s="14"/>
      <c r="N133" s="14"/>
      <c r="O133" s="14"/>
      <c r="P133" s="14"/>
      <c r="Q133" s="15"/>
    </row>
    <row r="134" customFormat="false" ht="25.35" hidden="false" customHeight="false" outlineLevel="0" collapsed="false">
      <c r="A134" s="11" t="n">
        <v>133</v>
      </c>
      <c r="B134" s="12" t="s">
        <v>47</v>
      </c>
      <c r="C134" s="11" t="s">
        <v>379</v>
      </c>
      <c r="D134" s="11" t="s">
        <v>380</v>
      </c>
      <c r="E134" s="12" t="s">
        <v>330</v>
      </c>
      <c r="F134" s="12" t="s">
        <v>331</v>
      </c>
      <c r="G134" s="13" t="s">
        <v>52</v>
      </c>
      <c r="H134" s="12" t="s">
        <v>89</v>
      </c>
      <c r="I134" s="12" t="s">
        <v>94</v>
      </c>
      <c r="J134" s="12" t="s">
        <v>369</v>
      </c>
      <c r="K134" s="14"/>
      <c r="L134" s="14"/>
      <c r="M134" s="14"/>
      <c r="N134" s="14"/>
      <c r="O134" s="14"/>
      <c r="P134" s="14"/>
      <c r="Q134" s="15"/>
    </row>
    <row r="135" customFormat="false" ht="25.35" hidden="false" customHeight="false" outlineLevel="0" collapsed="false">
      <c r="A135" s="11" t="n">
        <v>134</v>
      </c>
      <c r="B135" s="12" t="s">
        <v>55</v>
      </c>
      <c r="C135" s="11" t="s">
        <v>381</v>
      </c>
      <c r="D135" s="11" t="s">
        <v>382</v>
      </c>
      <c r="E135" s="12" t="s">
        <v>330</v>
      </c>
      <c r="F135" s="12" t="s">
        <v>331</v>
      </c>
      <c r="G135" s="13" t="s">
        <v>52</v>
      </c>
      <c r="H135" s="12" t="s">
        <v>58</v>
      </c>
      <c r="I135" s="12" t="s">
        <v>240</v>
      </c>
      <c r="J135" s="11" t="s">
        <v>241</v>
      </c>
      <c r="K135" s="14"/>
      <c r="L135" s="14"/>
      <c r="M135" s="14"/>
      <c r="N135" s="14"/>
      <c r="O135" s="14"/>
      <c r="P135" s="14"/>
      <c r="Q135" s="15"/>
    </row>
    <row r="136" customFormat="false" ht="25.35" hidden="false" customHeight="false" outlineLevel="0" collapsed="false">
      <c r="A136" s="11" t="n">
        <v>135</v>
      </c>
      <c r="B136" s="12" t="s">
        <v>59</v>
      </c>
      <c r="C136" s="11" t="s">
        <v>383</v>
      </c>
      <c r="D136" s="11" t="s">
        <v>384</v>
      </c>
      <c r="E136" s="12" t="s">
        <v>330</v>
      </c>
      <c r="F136" s="12" t="s">
        <v>331</v>
      </c>
      <c r="G136" s="13" t="s">
        <v>52</v>
      </c>
      <c r="H136" s="12" t="s">
        <v>58</v>
      </c>
      <c r="I136" s="12" t="s">
        <v>240</v>
      </c>
      <c r="J136" s="11" t="s">
        <v>385</v>
      </c>
      <c r="K136" s="14"/>
      <c r="L136" s="14"/>
      <c r="M136" s="14"/>
      <c r="N136" s="14"/>
      <c r="O136" s="14"/>
      <c r="P136" s="14"/>
      <c r="Q136" s="15"/>
    </row>
    <row r="137" customFormat="false" ht="25.35" hidden="false" customHeight="false" outlineLevel="0" collapsed="false">
      <c r="A137" s="11" t="n">
        <v>136</v>
      </c>
      <c r="B137" s="12" t="s">
        <v>63</v>
      </c>
      <c r="C137" s="11" t="s">
        <v>386</v>
      </c>
      <c r="D137" s="11" t="s">
        <v>387</v>
      </c>
      <c r="E137" s="12" t="s">
        <v>330</v>
      </c>
      <c r="F137" s="12" t="s">
        <v>331</v>
      </c>
      <c r="G137" s="13" t="s">
        <v>52</v>
      </c>
      <c r="H137" s="12" t="s">
        <v>58</v>
      </c>
      <c r="I137" s="11" t="s">
        <v>54</v>
      </c>
      <c r="J137" s="11"/>
      <c r="K137" s="14"/>
      <c r="L137" s="14"/>
      <c r="M137" s="14"/>
      <c r="N137" s="14"/>
      <c r="O137" s="14"/>
      <c r="P137" s="14"/>
      <c r="Q137" s="15"/>
    </row>
    <row r="138" customFormat="false" ht="25.35" hidden="false" customHeight="false" outlineLevel="0" collapsed="false">
      <c r="A138" s="11" t="n">
        <v>137</v>
      </c>
      <c r="B138" s="12" t="s">
        <v>47</v>
      </c>
      <c r="C138" s="11" t="s">
        <v>388</v>
      </c>
      <c r="D138" s="11" t="s">
        <v>389</v>
      </c>
      <c r="E138" s="12" t="s">
        <v>330</v>
      </c>
      <c r="F138" s="12" t="s">
        <v>331</v>
      </c>
      <c r="G138" s="13" t="s">
        <v>52</v>
      </c>
      <c r="H138" s="12" t="s">
        <v>102</v>
      </c>
      <c r="I138" s="12" t="s">
        <v>103</v>
      </c>
      <c r="J138" s="12" t="s">
        <v>349</v>
      </c>
      <c r="K138" s="14"/>
      <c r="L138" s="14"/>
      <c r="M138" s="14"/>
      <c r="N138" s="14"/>
      <c r="O138" s="14"/>
      <c r="P138" s="14"/>
      <c r="Q138" s="15"/>
    </row>
    <row r="139" customFormat="false" ht="25.35" hidden="false" customHeight="false" outlineLevel="0" collapsed="false">
      <c r="A139" s="11" t="n">
        <v>138</v>
      </c>
      <c r="B139" s="12" t="s">
        <v>55</v>
      </c>
      <c r="C139" s="11" t="s">
        <v>390</v>
      </c>
      <c r="D139" s="11" t="s">
        <v>391</v>
      </c>
      <c r="E139" s="12" t="s">
        <v>330</v>
      </c>
      <c r="F139" s="12" t="s">
        <v>331</v>
      </c>
      <c r="G139" s="13" t="s">
        <v>52</v>
      </c>
      <c r="H139" s="12" t="s">
        <v>89</v>
      </c>
      <c r="I139" s="12" t="s">
        <v>94</v>
      </c>
      <c r="J139" s="12" t="s">
        <v>95</v>
      </c>
      <c r="K139" s="14"/>
      <c r="L139" s="14"/>
      <c r="M139" s="14"/>
      <c r="N139" s="14"/>
      <c r="O139" s="14"/>
      <c r="P139" s="14"/>
      <c r="Q139" s="15"/>
    </row>
    <row r="140" customFormat="false" ht="26.85" hidden="false" customHeight="false" outlineLevel="0" collapsed="false">
      <c r="A140" s="11" t="n">
        <v>139</v>
      </c>
      <c r="B140" s="12" t="s">
        <v>59</v>
      </c>
      <c r="C140" s="11" t="s">
        <v>392</v>
      </c>
      <c r="D140" s="11" t="s">
        <v>393</v>
      </c>
      <c r="E140" s="12" t="s">
        <v>330</v>
      </c>
      <c r="F140" s="12" t="s">
        <v>331</v>
      </c>
      <c r="G140" s="13" t="s">
        <v>52</v>
      </c>
      <c r="H140" s="12" t="s">
        <v>58</v>
      </c>
      <c r="I140" s="11" t="s">
        <v>54</v>
      </c>
      <c r="J140" s="11"/>
      <c r="K140" s="14"/>
      <c r="L140" s="14"/>
      <c r="M140" s="14"/>
      <c r="N140" s="14"/>
      <c r="O140" s="14"/>
      <c r="P140" s="14"/>
      <c r="Q140" s="15"/>
    </row>
    <row r="141" customFormat="false" ht="25.35" hidden="false" customHeight="false" outlineLevel="0" collapsed="false">
      <c r="A141" s="11" t="n">
        <v>140</v>
      </c>
      <c r="B141" s="12" t="s">
        <v>63</v>
      </c>
      <c r="C141" s="11" t="s">
        <v>394</v>
      </c>
      <c r="D141" s="11" t="s">
        <v>395</v>
      </c>
      <c r="E141" s="12" t="s">
        <v>330</v>
      </c>
      <c r="F141" s="12" t="s">
        <v>331</v>
      </c>
      <c r="G141" s="13" t="s">
        <v>52</v>
      </c>
      <c r="H141" s="12" t="s">
        <v>82</v>
      </c>
      <c r="I141" s="12" t="s">
        <v>167</v>
      </c>
      <c r="J141" s="12" t="s">
        <v>178</v>
      </c>
      <c r="K141" s="14"/>
      <c r="L141" s="14"/>
      <c r="M141" s="14"/>
      <c r="N141" s="14"/>
      <c r="O141" s="14"/>
      <c r="P141" s="14"/>
      <c r="Q141" s="15"/>
    </row>
    <row r="142" customFormat="false" ht="25.35" hidden="false" customHeight="false" outlineLevel="0" collapsed="false">
      <c r="A142" s="11" t="n">
        <v>141</v>
      </c>
      <c r="B142" s="12" t="s">
        <v>47</v>
      </c>
      <c r="C142" s="11" t="s">
        <v>396</v>
      </c>
      <c r="D142" s="11" t="s">
        <v>397</v>
      </c>
      <c r="E142" s="12" t="s">
        <v>330</v>
      </c>
      <c r="F142" s="12" t="s">
        <v>331</v>
      </c>
      <c r="G142" s="13" t="s">
        <v>52</v>
      </c>
      <c r="H142" s="12" t="s">
        <v>82</v>
      </c>
      <c r="I142" s="12" t="s">
        <v>167</v>
      </c>
      <c r="J142" s="12" t="s">
        <v>178</v>
      </c>
      <c r="K142" s="14"/>
      <c r="L142" s="14"/>
      <c r="M142" s="14"/>
      <c r="N142" s="14"/>
      <c r="O142" s="14"/>
      <c r="P142" s="14"/>
      <c r="Q142" s="15"/>
    </row>
    <row r="143" customFormat="false" ht="25.35" hidden="false" customHeight="false" outlineLevel="0" collapsed="false">
      <c r="A143" s="11" t="n">
        <v>142</v>
      </c>
      <c r="B143" s="12" t="s">
        <v>55</v>
      </c>
      <c r="C143" s="11" t="s">
        <v>398</v>
      </c>
      <c r="D143" s="12" t="s">
        <v>399</v>
      </c>
      <c r="E143" s="12" t="s">
        <v>330</v>
      </c>
      <c r="F143" s="12" t="s">
        <v>331</v>
      </c>
      <c r="G143" s="13" t="s">
        <v>52</v>
      </c>
      <c r="H143" s="12" t="s">
        <v>102</v>
      </c>
      <c r="I143" s="12" t="s">
        <v>103</v>
      </c>
      <c r="J143" s="12" t="s">
        <v>191</v>
      </c>
      <c r="K143" s="14"/>
      <c r="L143" s="14"/>
      <c r="M143" s="14"/>
      <c r="N143" s="14"/>
      <c r="O143" s="14"/>
      <c r="P143" s="14"/>
      <c r="Q143" s="15"/>
    </row>
    <row r="144" customFormat="false" ht="25.35" hidden="false" customHeight="false" outlineLevel="0" collapsed="false">
      <c r="A144" s="11" t="n">
        <v>143</v>
      </c>
      <c r="B144" s="12" t="s">
        <v>59</v>
      </c>
      <c r="C144" s="11" t="s">
        <v>400</v>
      </c>
      <c r="D144" s="11" t="s">
        <v>401</v>
      </c>
      <c r="E144" s="12" t="s">
        <v>330</v>
      </c>
      <c r="F144" s="12" t="s">
        <v>331</v>
      </c>
      <c r="G144" s="13" t="s">
        <v>52</v>
      </c>
      <c r="H144" s="12" t="s">
        <v>58</v>
      </c>
      <c r="I144" s="11" t="s">
        <v>54</v>
      </c>
      <c r="J144" s="11"/>
      <c r="K144" s="14"/>
      <c r="L144" s="14"/>
      <c r="M144" s="14"/>
      <c r="N144" s="14"/>
      <c r="O144" s="14"/>
      <c r="P144" s="14"/>
      <c r="Q144" s="15"/>
    </row>
    <row r="145" customFormat="false" ht="25.35" hidden="false" customHeight="false" outlineLevel="0" collapsed="false">
      <c r="A145" s="11" t="n">
        <v>144</v>
      </c>
      <c r="B145" s="12" t="s">
        <v>63</v>
      </c>
      <c r="C145" s="11" t="s">
        <v>402</v>
      </c>
      <c r="D145" s="12" t="s">
        <v>403</v>
      </c>
      <c r="E145" s="12" t="s">
        <v>330</v>
      </c>
      <c r="F145" s="12" t="s">
        <v>331</v>
      </c>
      <c r="G145" s="13" t="s">
        <v>52</v>
      </c>
      <c r="H145" s="12" t="s">
        <v>102</v>
      </c>
      <c r="I145" s="12" t="s">
        <v>103</v>
      </c>
      <c r="J145" s="12" t="s">
        <v>349</v>
      </c>
      <c r="K145" s="14"/>
      <c r="L145" s="14"/>
      <c r="M145" s="14"/>
      <c r="N145" s="14"/>
      <c r="O145" s="14"/>
      <c r="P145" s="14"/>
      <c r="Q145" s="15"/>
    </row>
    <row r="146" customFormat="false" ht="25.35" hidden="false" customHeight="false" outlineLevel="0" collapsed="false">
      <c r="A146" s="11" t="n">
        <v>145</v>
      </c>
      <c r="B146" s="12" t="s">
        <v>47</v>
      </c>
      <c r="C146" s="11" t="s">
        <v>404</v>
      </c>
      <c r="D146" s="11" t="s">
        <v>405</v>
      </c>
      <c r="E146" s="12" t="s">
        <v>330</v>
      </c>
      <c r="F146" s="12" t="s">
        <v>331</v>
      </c>
      <c r="G146" s="13" t="s">
        <v>52</v>
      </c>
      <c r="H146" s="12" t="s">
        <v>58</v>
      </c>
      <c r="I146" s="11" t="s">
        <v>54</v>
      </c>
      <c r="J146" s="11"/>
      <c r="K146" s="14"/>
      <c r="L146" s="14"/>
      <c r="M146" s="14"/>
      <c r="N146" s="14"/>
      <c r="O146" s="14"/>
      <c r="P146" s="14"/>
      <c r="Q146" s="15"/>
    </row>
    <row r="147" customFormat="false" ht="25.35" hidden="false" customHeight="false" outlineLevel="0" collapsed="false">
      <c r="A147" s="11" t="n">
        <v>146</v>
      </c>
      <c r="B147" s="12" t="s">
        <v>55</v>
      </c>
      <c r="C147" s="11" t="s">
        <v>406</v>
      </c>
      <c r="D147" s="12" t="s">
        <v>407</v>
      </c>
      <c r="E147" s="12" t="s">
        <v>330</v>
      </c>
      <c r="F147" s="12" t="s">
        <v>331</v>
      </c>
      <c r="G147" s="13" t="s">
        <v>52</v>
      </c>
      <c r="H147" s="12" t="s">
        <v>58</v>
      </c>
      <c r="I147" s="11" t="s">
        <v>54</v>
      </c>
      <c r="J147" s="11"/>
      <c r="K147" s="14"/>
      <c r="L147" s="14"/>
      <c r="M147" s="14"/>
      <c r="N147" s="14"/>
      <c r="O147" s="14"/>
      <c r="P147" s="14"/>
      <c r="Q147" s="15"/>
    </row>
    <row r="148" customFormat="false" ht="25.35" hidden="false" customHeight="false" outlineLevel="0" collapsed="false">
      <c r="A148" s="11" t="n">
        <v>147</v>
      </c>
      <c r="B148" s="12" t="s">
        <v>59</v>
      </c>
      <c r="C148" s="11" t="s">
        <v>408</v>
      </c>
      <c r="D148" s="12" t="s">
        <v>409</v>
      </c>
      <c r="E148" s="12" t="s">
        <v>330</v>
      </c>
      <c r="F148" s="12" t="s">
        <v>331</v>
      </c>
      <c r="G148" s="13" t="s">
        <v>52</v>
      </c>
      <c r="H148" s="12" t="s">
        <v>58</v>
      </c>
      <c r="I148" s="11" t="s">
        <v>54</v>
      </c>
      <c r="J148" s="11"/>
      <c r="K148" s="14"/>
      <c r="L148" s="14"/>
      <c r="M148" s="14"/>
      <c r="N148" s="14"/>
      <c r="O148" s="14"/>
      <c r="P148" s="14"/>
      <c r="Q148" s="15"/>
    </row>
    <row r="149" customFormat="false" ht="25.35" hidden="false" customHeight="false" outlineLevel="0" collapsed="false">
      <c r="A149" s="11" t="n">
        <v>148</v>
      </c>
      <c r="B149" s="12" t="s">
        <v>63</v>
      </c>
      <c r="C149" s="11" t="s">
        <v>410</v>
      </c>
      <c r="D149" s="11" t="s">
        <v>411</v>
      </c>
      <c r="E149" s="12" t="s">
        <v>330</v>
      </c>
      <c r="F149" s="12" t="s">
        <v>331</v>
      </c>
      <c r="G149" s="13" t="s">
        <v>52</v>
      </c>
      <c r="H149" s="12" t="s">
        <v>102</v>
      </c>
      <c r="I149" s="12" t="s">
        <v>33</v>
      </c>
      <c r="J149" s="12" t="s">
        <v>412</v>
      </c>
      <c r="K149" s="14"/>
      <c r="L149" s="14"/>
      <c r="M149" s="14"/>
      <c r="N149" s="14"/>
      <c r="O149" s="14"/>
      <c r="P149" s="14"/>
      <c r="Q149" s="15"/>
    </row>
    <row r="150" customFormat="false" ht="25.35" hidden="false" customHeight="false" outlineLevel="0" collapsed="false">
      <c r="A150" s="11" t="n">
        <v>149</v>
      </c>
      <c r="B150" s="12" t="s">
        <v>47</v>
      </c>
      <c r="C150" s="11" t="s">
        <v>413</v>
      </c>
      <c r="D150" s="12" t="s">
        <v>414</v>
      </c>
      <c r="E150" s="12" t="s">
        <v>330</v>
      </c>
      <c r="F150" s="12" t="s">
        <v>331</v>
      </c>
      <c r="G150" s="13" t="s">
        <v>52</v>
      </c>
      <c r="H150" s="12" t="s">
        <v>102</v>
      </c>
      <c r="I150" s="12" t="s">
        <v>103</v>
      </c>
      <c r="J150" s="12" t="s">
        <v>191</v>
      </c>
      <c r="K150" s="14"/>
      <c r="L150" s="14"/>
      <c r="M150" s="14"/>
      <c r="N150" s="14"/>
      <c r="O150" s="14"/>
      <c r="P150" s="14"/>
      <c r="Q150" s="15"/>
    </row>
    <row r="151" customFormat="false" ht="25.35" hidden="false" customHeight="false" outlineLevel="0" collapsed="false">
      <c r="A151" s="11" t="n">
        <v>150</v>
      </c>
      <c r="B151" s="12" t="s">
        <v>55</v>
      </c>
      <c r="C151" s="11" t="s">
        <v>415</v>
      </c>
      <c r="D151" s="11" t="s">
        <v>416</v>
      </c>
      <c r="E151" s="12" t="s">
        <v>330</v>
      </c>
      <c r="F151" s="12" t="s">
        <v>331</v>
      </c>
      <c r="G151" s="13" t="s">
        <v>52</v>
      </c>
      <c r="H151" s="12" t="s">
        <v>58</v>
      </c>
      <c r="I151" s="11" t="s">
        <v>54</v>
      </c>
      <c r="J151" s="11"/>
      <c r="K151" s="14"/>
      <c r="L151" s="14"/>
      <c r="M151" s="14"/>
      <c r="N151" s="14"/>
      <c r="O151" s="14"/>
      <c r="P151" s="14"/>
      <c r="Q151" s="15"/>
    </row>
    <row r="152" customFormat="false" ht="25.35" hidden="false" customHeight="false" outlineLevel="0" collapsed="false">
      <c r="A152" s="11" t="n">
        <v>151</v>
      </c>
      <c r="B152" s="12" t="s">
        <v>59</v>
      </c>
      <c r="C152" s="11" t="s">
        <v>417</v>
      </c>
      <c r="D152" s="11" t="s">
        <v>418</v>
      </c>
      <c r="E152" s="12" t="s">
        <v>330</v>
      </c>
      <c r="F152" s="12" t="s">
        <v>331</v>
      </c>
      <c r="G152" s="13" t="s">
        <v>52</v>
      </c>
      <c r="H152" s="12" t="s">
        <v>58</v>
      </c>
      <c r="I152" s="12" t="s">
        <v>240</v>
      </c>
      <c r="J152" s="11" t="s">
        <v>241</v>
      </c>
      <c r="K152" s="14"/>
      <c r="L152" s="14"/>
      <c r="M152" s="14"/>
      <c r="N152" s="14"/>
      <c r="O152" s="14"/>
      <c r="P152" s="14"/>
      <c r="Q152" s="15"/>
    </row>
    <row r="153" customFormat="false" ht="25.35" hidden="false" customHeight="false" outlineLevel="0" collapsed="false">
      <c r="A153" s="11" t="n">
        <v>152</v>
      </c>
      <c r="B153" s="12" t="s">
        <v>63</v>
      </c>
      <c r="C153" s="11" t="s">
        <v>419</v>
      </c>
      <c r="D153" s="11" t="s">
        <v>420</v>
      </c>
      <c r="E153" s="12" t="s">
        <v>330</v>
      </c>
      <c r="F153" s="12" t="s">
        <v>331</v>
      </c>
      <c r="G153" s="13" t="s">
        <v>52</v>
      </c>
      <c r="H153" s="12" t="s">
        <v>82</v>
      </c>
      <c r="I153" s="12" t="s">
        <v>108</v>
      </c>
      <c r="J153" s="12" t="s">
        <v>109</v>
      </c>
      <c r="K153" s="14"/>
      <c r="L153" s="14"/>
      <c r="M153" s="14"/>
      <c r="N153" s="14"/>
      <c r="O153" s="14"/>
      <c r="P153" s="14"/>
      <c r="Q153" s="15"/>
    </row>
    <row r="154" customFormat="false" ht="25.35" hidden="false" customHeight="false" outlineLevel="0" collapsed="false">
      <c r="A154" s="11" t="n">
        <v>153</v>
      </c>
      <c r="B154" s="12" t="s">
        <v>47</v>
      </c>
      <c r="C154" s="11" t="s">
        <v>421</v>
      </c>
      <c r="D154" s="11" t="s">
        <v>422</v>
      </c>
      <c r="E154" s="12" t="s">
        <v>330</v>
      </c>
      <c r="F154" s="12" t="s">
        <v>331</v>
      </c>
      <c r="G154" s="13" t="s">
        <v>52</v>
      </c>
      <c r="H154" s="12" t="s">
        <v>58</v>
      </c>
      <c r="I154" s="12" t="s">
        <v>240</v>
      </c>
      <c r="J154" s="11" t="s">
        <v>241</v>
      </c>
      <c r="K154" s="14"/>
      <c r="L154" s="14"/>
      <c r="M154" s="14"/>
      <c r="N154" s="14"/>
      <c r="O154" s="14"/>
      <c r="P154" s="14"/>
      <c r="Q154" s="15"/>
    </row>
    <row r="155" customFormat="false" ht="25.35" hidden="false" customHeight="false" outlineLevel="0" collapsed="false">
      <c r="A155" s="11" t="n">
        <v>154</v>
      </c>
      <c r="B155" s="12" t="s">
        <v>55</v>
      </c>
      <c r="C155" s="11" t="s">
        <v>423</v>
      </c>
      <c r="D155" s="11" t="s">
        <v>424</v>
      </c>
      <c r="E155" s="12" t="s">
        <v>330</v>
      </c>
      <c r="F155" s="12" t="s">
        <v>331</v>
      </c>
      <c r="G155" s="13" t="s">
        <v>52</v>
      </c>
      <c r="H155" s="12" t="s">
        <v>58</v>
      </c>
      <c r="I155" s="11" t="s">
        <v>54</v>
      </c>
      <c r="J155" s="11"/>
      <c r="K155" s="14"/>
      <c r="L155" s="14"/>
      <c r="M155" s="14"/>
      <c r="N155" s="14"/>
      <c r="O155" s="14"/>
      <c r="P155" s="14"/>
      <c r="Q155" s="15"/>
    </row>
    <row r="156" customFormat="false" ht="25.35" hidden="false" customHeight="false" outlineLevel="0" collapsed="false">
      <c r="A156" s="11" t="n">
        <v>155</v>
      </c>
      <c r="B156" s="12" t="s">
        <v>59</v>
      </c>
      <c r="C156" s="11" t="s">
        <v>425</v>
      </c>
      <c r="D156" s="11" t="s">
        <v>426</v>
      </c>
      <c r="E156" s="12" t="s">
        <v>330</v>
      </c>
      <c r="F156" s="12" t="s">
        <v>331</v>
      </c>
      <c r="G156" s="13" t="s">
        <v>52</v>
      </c>
      <c r="H156" s="12" t="s">
        <v>58</v>
      </c>
      <c r="I156" s="11" t="s">
        <v>54</v>
      </c>
      <c r="J156" s="11"/>
      <c r="K156" s="14"/>
      <c r="L156" s="14"/>
      <c r="M156" s="14"/>
      <c r="N156" s="14"/>
      <c r="O156" s="14"/>
      <c r="P156" s="14"/>
      <c r="Q156" s="15"/>
    </row>
    <row r="157" customFormat="false" ht="26.85" hidden="false" customHeight="false" outlineLevel="0" collapsed="false">
      <c r="A157" s="11" t="n">
        <v>156</v>
      </c>
      <c r="B157" s="12" t="s">
        <v>63</v>
      </c>
      <c r="C157" s="11" t="s">
        <v>427</v>
      </c>
      <c r="D157" s="11" t="s">
        <v>428</v>
      </c>
      <c r="E157" s="12" t="s">
        <v>330</v>
      </c>
      <c r="F157" s="12" t="s">
        <v>331</v>
      </c>
      <c r="G157" s="13" t="s">
        <v>52</v>
      </c>
      <c r="H157" s="12" t="s">
        <v>58</v>
      </c>
      <c r="I157" s="12" t="s">
        <v>429</v>
      </c>
      <c r="J157" s="11" t="s">
        <v>430</v>
      </c>
      <c r="K157" s="14"/>
      <c r="L157" s="14"/>
      <c r="M157" s="14"/>
      <c r="N157" s="14"/>
      <c r="O157" s="14"/>
      <c r="P157" s="14"/>
      <c r="Q157" s="15"/>
    </row>
    <row r="158" customFormat="false" ht="25.35" hidden="false" customHeight="false" outlineLevel="0" collapsed="false">
      <c r="A158" s="11" t="n">
        <v>157</v>
      </c>
      <c r="B158" s="12" t="s">
        <v>47</v>
      </c>
      <c r="C158" s="11" t="s">
        <v>431</v>
      </c>
      <c r="D158" s="11" t="s">
        <v>432</v>
      </c>
      <c r="E158" s="12" t="s">
        <v>330</v>
      </c>
      <c r="F158" s="12" t="s">
        <v>331</v>
      </c>
      <c r="G158" s="13" t="s">
        <v>52</v>
      </c>
      <c r="H158" s="12" t="s">
        <v>89</v>
      </c>
      <c r="I158" s="12" t="s">
        <v>94</v>
      </c>
      <c r="J158" s="12" t="s">
        <v>369</v>
      </c>
      <c r="K158" s="14"/>
      <c r="L158" s="14"/>
      <c r="M158" s="14"/>
      <c r="N158" s="14"/>
      <c r="O158" s="14"/>
      <c r="P158" s="14"/>
      <c r="Q158" s="15"/>
    </row>
    <row r="159" customFormat="false" ht="25.35" hidden="false" customHeight="false" outlineLevel="0" collapsed="false">
      <c r="A159" s="11" t="n">
        <v>158</v>
      </c>
      <c r="B159" s="12" t="s">
        <v>55</v>
      </c>
      <c r="C159" s="11" t="s">
        <v>433</v>
      </c>
      <c r="D159" s="11" t="s">
        <v>434</v>
      </c>
      <c r="E159" s="12" t="s">
        <v>330</v>
      </c>
      <c r="F159" s="12" t="s">
        <v>331</v>
      </c>
      <c r="G159" s="13" t="s">
        <v>52</v>
      </c>
      <c r="H159" s="12" t="s">
        <v>89</v>
      </c>
      <c r="I159" s="12" t="s">
        <v>94</v>
      </c>
      <c r="J159" s="12" t="s">
        <v>118</v>
      </c>
      <c r="K159" s="14"/>
      <c r="L159" s="14"/>
      <c r="M159" s="14"/>
      <c r="N159" s="14"/>
      <c r="O159" s="14"/>
      <c r="P159" s="14"/>
      <c r="Q159" s="15"/>
    </row>
    <row r="160" customFormat="false" ht="25.35" hidden="false" customHeight="false" outlineLevel="0" collapsed="false">
      <c r="A160" s="11" t="n">
        <v>159</v>
      </c>
      <c r="B160" s="12" t="s">
        <v>59</v>
      </c>
      <c r="C160" s="11" t="s">
        <v>435</v>
      </c>
      <c r="D160" s="11" t="s">
        <v>436</v>
      </c>
      <c r="E160" s="12" t="s">
        <v>330</v>
      </c>
      <c r="F160" s="12" t="s">
        <v>331</v>
      </c>
      <c r="G160" s="13" t="s">
        <v>52</v>
      </c>
      <c r="H160" s="12" t="s">
        <v>58</v>
      </c>
      <c r="I160" s="12" t="s">
        <v>437</v>
      </c>
      <c r="J160" s="12" t="s">
        <v>438</v>
      </c>
      <c r="K160" s="14"/>
      <c r="L160" s="14"/>
      <c r="M160" s="14"/>
      <c r="N160" s="14"/>
      <c r="O160" s="14"/>
      <c r="P160" s="14"/>
      <c r="Q160" s="15"/>
    </row>
    <row r="161" customFormat="false" ht="25.35" hidden="false" customHeight="false" outlineLevel="0" collapsed="false">
      <c r="A161" s="11" t="n">
        <v>160</v>
      </c>
      <c r="B161" s="12" t="s">
        <v>63</v>
      </c>
      <c r="C161" s="11" t="s">
        <v>439</v>
      </c>
      <c r="D161" s="12" t="s">
        <v>440</v>
      </c>
      <c r="E161" s="12" t="s">
        <v>330</v>
      </c>
      <c r="F161" s="12" t="s">
        <v>331</v>
      </c>
      <c r="G161" s="13" t="s">
        <v>52</v>
      </c>
      <c r="H161" s="12" t="s">
        <v>102</v>
      </c>
      <c r="I161" s="12" t="s">
        <v>103</v>
      </c>
      <c r="J161" s="12" t="s">
        <v>191</v>
      </c>
      <c r="K161" s="14"/>
      <c r="L161" s="14"/>
      <c r="M161" s="14"/>
      <c r="N161" s="14"/>
      <c r="O161" s="14"/>
      <c r="P161" s="14"/>
      <c r="Q161" s="15"/>
    </row>
    <row r="162" customFormat="false" ht="25.35" hidden="false" customHeight="false" outlineLevel="0" collapsed="false">
      <c r="A162" s="11" t="n">
        <v>161</v>
      </c>
      <c r="B162" s="12" t="s">
        <v>47</v>
      </c>
      <c r="C162" s="11" t="s">
        <v>441</v>
      </c>
      <c r="D162" s="12" t="s">
        <v>442</v>
      </c>
      <c r="E162" s="12" t="s">
        <v>330</v>
      </c>
      <c r="F162" s="12" t="s">
        <v>331</v>
      </c>
      <c r="G162" s="13" t="s">
        <v>52</v>
      </c>
      <c r="H162" s="12" t="s">
        <v>89</v>
      </c>
      <c r="I162" s="12" t="s">
        <v>94</v>
      </c>
      <c r="J162" s="12" t="s">
        <v>118</v>
      </c>
      <c r="K162" s="14"/>
      <c r="L162" s="14"/>
      <c r="M162" s="14"/>
      <c r="N162" s="14"/>
      <c r="O162" s="14"/>
      <c r="P162" s="14"/>
      <c r="Q162" s="15"/>
    </row>
    <row r="163" customFormat="false" ht="25.35" hidden="false" customHeight="false" outlineLevel="0" collapsed="false">
      <c r="A163" s="11" t="n">
        <v>162</v>
      </c>
      <c r="B163" s="12" t="s">
        <v>55</v>
      </c>
      <c r="C163" s="11" t="s">
        <v>443</v>
      </c>
      <c r="D163" s="11" t="s">
        <v>444</v>
      </c>
      <c r="E163" s="12" t="s">
        <v>330</v>
      </c>
      <c r="F163" s="12" t="s">
        <v>331</v>
      </c>
      <c r="G163" s="13" t="s">
        <v>52</v>
      </c>
      <c r="H163" s="12" t="s">
        <v>89</v>
      </c>
      <c r="I163" s="12" t="s">
        <v>94</v>
      </c>
      <c r="J163" s="12" t="s">
        <v>369</v>
      </c>
      <c r="K163" s="14"/>
      <c r="L163" s="14"/>
      <c r="M163" s="14"/>
      <c r="N163" s="14"/>
      <c r="O163" s="14"/>
      <c r="P163" s="14"/>
      <c r="Q163" s="15"/>
    </row>
    <row r="164" customFormat="false" ht="26.85" hidden="false" customHeight="false" outlineLevel="0" collapsed="false">
      <c r="A164" s="11" t="n">
        <v>163</v>
      </c>
      <c r="B164" s="12" t="s">
        <v>59</v>
      </c>
      <c r="C164" s="11" t="s">
        <v>445</v>
      </c>
      <c r="D164" s="11" t="s">
        <v>446</v>
      </c>
      <c r="E164" s="12" t="s">
        <v>330</v>
      </c>
      <c r="F164" s="12" t="s">
        <v>331</v>
      </c>
      <c r="G164" s="13" t="s">
        <v>52</v>
      </c>
      <c r="H164" s="12" t="s">
        <v>58</v>
      </c>
      <c r="I164" s="12" t="s">
        <v>240</v>
      </c>
      <c r="J164" s="11" t="s">
        <v>241</v>
      </c>
      <c r="K164" s="14"/>
      <c r="L164" s="14"/>
      <c r="M164" s="14"/>
      <c r="N164" s="14"/>
      <c r="O164" s="14"/>
      <c r="P164" s="14"/>
      <c r="Q164" s="15"/>
    </row>
    <row r="165" customFormat="false" ht="25.35" hidden="false" customHeight="false" outlineLevel="0" collapsed="false">
      <c r="A165" s="11" t="n">
        <v>164</v>
      </c>
      <c r="B165" s="12" t="s">
        <v>63</v>
      </c>
      <c r="C165" s="11" t="s">
        <v>447</v>
      </c>
      <c r="D165" s="11" t="s">
        <v>448</v>
      </c>
      <c r="E165" s="12" t="s">
        <v>330</v>
      </c>
      <c r="F165" s="12" t="s">
        <v>331</v>
      </c>
      <c r="G165" s="13" t="s">
        <v>52</v>
      </c>
      <c r="H165" s="12" t="s">
        <v>58</v>
      </c>
      <c r="I165" s="12" t="s">
        <v>240</v>
      </c>
      <c r="J165" s="11" t="s">
        <v>241</v>
      </c>
      <c r="K165" s="14"/>
      <c r="L165" s="14"/>
      <c r="M165" s="14"/>
      <c r="N165" s="14"/>
      <c r="O165" s="14"/>
      <c r="P165" s="14"/>
      <c r="Q165" s="15"/>
    </row>
    <row r="166" customFormat="false" ht="26.85" hidden="false" customHeight="false" outlineLevel="0" collapsed="false">
      <c r="A166" s="11" t="n">
        <v>165</v>
      </c>
      <c r="B166" s="12" t="s">
        <v>47</v>
      </c>
      <c r="C166" s="11" t="s">
        <v>449</v>
      </c>
      <c r="D166" s="11" t="s">
        <v>450</v>
      </c>
      <c r="E166" s="12" t="s">
        <v>330</v>
      </c>
      <c r="F166" s="12" t="s">
        <v>331</v>
      </c>
      <c r="G166" s="13" t="s">
        <v>52</v>
      </c>
      <c r="H166" s="12" t="s">
        <v>58</v>
      </c>
      <c r="I166" s="12" t="s">
        <v>240</v>
      </c>
      <c r="J166" s="11" t="s">
        <v>241</v>
      </c>
      <c r="K166" s="14"/>
      <c r="L166" s="14"/>
      <c r="M166" s="14"/>
      <c r="N166" s="14"/>
      <c r="O166" s="14"/>
      <c r="P166" s="14"/>
      <c r="Q166" s="15"/>
    </row>
    <row r="167" customFormat="false" ht="25.35" hidden="false" customHeight="false" outlineLevel="0" collapsed="false">
      <c r="A167" s="11" t="n">
        <v>166</v>
      </c>
      <c r="B167" s="12" t="s">
        <v>55</v>
      </c>
      <c r="C167" s="11" t="s">
        <v>451</v>
      </c>
      <c r="D167" s="11" t="s">
        <v>452</v>
      </c>
      <c r="E167" s="12" t="s">
        <v>330</v>
      </c>
      <c r="F167" s="12" t="s">
        <v>331</v>
      </c>
      <c r="G167" s="13" t="s">
        <v>52</v>
      </c>
      <c r="H167" s="12" t="s">
        <v>58</v>
      </c>
      <c r="I167" s="11" t="s">
        <v>54</v>
      </c>
      <c r="J167" s="11"/>
      <c r="K167" s="14"/>
      <c r="L167" s="14"/>
      <c r="M167" s="14"/>
      <c r="N167" s="14"/>
      <c r="O167" s="14"/>
      <c r="P167" s="14"/>
      <c r="Q167" s="15"/>
    </row>
    <row r="168" customFormat="false" ht="25.35" hidden="false" customHeight="false" outlineLevel="0" collapsed="false">
      <c r="A168" s="11" t="n">
        <v>167</v>
      </c>
      <c r="B168" s="12" t="s">
        <v>59</v>
      </c>
      <c r="C168" s="11" t="s">
        <v>453</v>
      </c>
      <c r="D168" s="12" t="s">
        <v>454</v>
      </c>
      <c r="E168" s="12" t="s">
        <v>330</v>
      </c>
      <c r="F168" s="12" t="s">
        <v>331</v>
      </c>
      <c r="G168" s="13" t="s">
        <v>52</v>
      </c>
      <c r="H168" s="12" t="s">
        <v>58</v>
      </c>
      <c r="I168" s="11" t="s">
        <v>54</v>
      </c>
      <c r="J168" s="11"/>
      <c r="K168" s="14"/>
      <c r="L168" s="14"/>
      <c r="M168" s="14"/>
      <c r="N168" s="14"/>
      <c r="O168" s="14"/>
      <c r="P168" s="14"/>
      <c r="Q168" s="15"/>
    </row>
    <row r="169" customFormat="false" ht="25.35" hidden="false" customHeight="false" outlineLevel="0" collapsed="false">
      <c r="A169" s="11" t="n">
        <v>168</v>
      </c>
      <c r="B169" s="12" t="s">
        <v>63</v>
      </c>
      <c r="C169" s="11" t="s">
        <v>455</v>
      </c>
      <c r="D169" s="11" t="s">
        <v>456</v>
      </c>
      <c r="E169" s="12" t="s">
        <v>330</v>
      </c>
      <c r="F169" s="12" t="s">
        <v>331</v>
      </c>
      <c r="G169" s="13" t="s">
        <v>52</v>
      </c>
      <c r="H169" s="12" t="s">
        <v>89</v>
      </c>
      <c r="I169" s="12" t="s">
        <v>94</v>
      </c>
      <c r="J169" s="12" t="s">
        <v>369</v>
      </c>
      <c r="K169" s="14"/>
      <c r="L169" s="14"/>
      <c r="M169" s="14"/>
      <c r="N169" s="14"/>
      <c r="O169" s="14"/>
      <c r="P169" s="14"/>
      <c r="Q169" s="15"/>
    </row>
    <row r="170" customFormat="false" ht="25.35" hidden="false" customHeight="false" outlineLevel="0" collapsed="false">
      <c r="A170" s="11" t="n">
        <v>169</v>
      </c>
      <c r="B170" s="12" t="s">
        <v>47</v>
      </c>
      <c r="C170" s="11" t="s">
        <v>457</v>
      </c>
      <c r="D170" s="11" t="s">
        <v>458</v>
      </c>
      <c r="E170" s="12" t="s">
        <v>330</v>
      </c>
      <c r="F170" s="12" t="s">
        <v>331</v>
      </c>
      <c r="G170" s="13" t="s">
        <v>52</v>
      </c>
      <c r="H170" s="12" t="s">
        <v>58</v>
      </c>
      <c r="I170" s="11" t="s">
        <v>54</v>
      </c>
      <c r="J170" s="11"/>
      <c r="K170" s="14"/>
      <c r="L170" s="14"/>
      <c r="M170" s="14"/>
      <c r="N170" s="14"/>
      <c r="O170" s="14"/>
      <c r="P170" s="14"/>
      <c r="Q170" s="15"/>
    </row>
    <row r="171" customFormat="false" ht="26.85" hidden="false" customHeight="false" outlineLevel="0" collapsed="false">
      <c r="A171" s="11" t="n">
        <v>170</v>
      </c>
      <c r="B171" s="12" t="s">
        <v>55</v>
      </c>
      <c r="C171" s="11" t="s">
        <v>459</v>
      </c>
      <c r="D171" s="11" t="s">
        <v>460</v>
      </c>
      <c r="E171" s="12" t="s">
        <v>330</v>
      </c>
      <c r="F171" s="12" t="s">
        <v>331</v>
      </c>
      <c r="G171" s="13" t="s">
        <v>52</v>
      </c>
      <c r="H171" s="12" t="s">
        <v>58</v>
      </c>
      <c r="I171" s="11" t="s">
        <v>54</v>
      </c>
      <c r="J171" s="11"/>
      <c r="K171" s="14"/>
      <c r="L171" s="14"/>
      <c r="M171" s="14"/>
      <c r="N171" s="14"/>
      <c r="O171" s="14"/>
      <c r="P171" s="14"/>
      <c r="Q171" s="15"/>
    </row>
    <row r="172" customFormat="false" ht="25.35" hidden="false" customHeight="false" outlineLevel="0" collapsed="false">
      <c r="A172" s="11" t="n">
        <v>171</v>
      </c>
      <c r="B172" s="12" t="s">
        <v>59</v>
      </c>
      <c r="C172" s="11" t="s">
        <v>461</v>
      </c>
      <c r="D172" s="11" t="s">
        <v>462</v>
      </c>
      <c r="E172" s="12" t="s">
        <v>330</v>
      </c>
      <c r="F172" s="12" t="s">
        <v>331</v>
      </c>
      <c r="G172" s="13" t="s">
        <v>52</v>
      </c>
      <c r="H172" s="12" t="s">
        <v>82</v>
      </c>
      <c r="I172" s="12" t="s">
        <v>108</v>
      </c>
      <c r="J172" s="12" t="s">
        <v>109</v>
      </c>
      <c r="K172" s="14"/>
      <c r="L172" s="14"/>
      <c r="M172" s="14"/>
      <c r="N172" s="14"/>
      <c r="O172" s="14"/>
      <c r="P172" s="14"/>
      <c r="Q172" s="15"/>
    </row>
    <row r="173" customFormat="false" ht="25.35" hidden="false" customHeight="false" outlineLevel="0" collapsed="false">
      <c r="A173" s="11" t="n">
        <v>172</v>
      </c>
      <c r="B173" s="12" t="s">
        <v>63</v>
      </c>
      <c r="C173" s="11" t="s">
        <v>463</v>
      </c>
      <c r="D173" s="12" t="s">
        <v>464</v>
      </c>
      <c r="E173" s="12" t="s">
        <v>330</v>
      </c>
      <c r="F173" s="12" t="s">
        <v>331</v>
      </c>
      <c r="G173" s="13" t="s">
        <v>52</v>
      </c>
      <c r="H173" s="12" t="s">
        <v>58</v>
      </c>
      <c r="I173" s="11" t="s">
        <v>54</v>
      </c>
      <c r="J173" s="11"/>
      <c r="K173" s="14"/>
      <c r="L173" s="14"/>
      <c r="M173" s="14"/>
      <c r="N173" s="14"/>
      <c r="O173" s="14"/>
      <c r="P173" s="14"/>
      <c r="Q173" s="15"/>
    </row>
    <row r="174" customFormat="false" ht="15" hidden="false" customHeight="false" outlineLevel="0" collapsed="false">
      <c r="A174" s="11" t="n">
        <v>173</v>
      </c>
      <c r="B174" s="12" t="s">
        <v>47</v>
      </c>
      <c r="C174" s="11" t="s">
        <v>465</v>
      </c>
      <c r="D174" s="11" t="s">
        <v>466</v>
      </c>
      <c r="E174" s="12" t="s">
        <v>467</v>
      </c>
      <c r="F174" s="12" t="s">
        <v>467</v>
      </c>
      <c r="G174" s="13" t="s">
        <v>52</v>
      </c>
      <c r="H174" s="12" t="s">
        <v>58</v>
      </c>
      <c r="I174" s="11" t="s">
        <v>54</v>
      </c>
      <c r="J174" s="11"/>
      <c r="K174" s="14"/>
      <c r="L174" s="14"/>
      <c r="M174" s="14"/>
      <c r="N174" s="14"/>
      <c r="O174" s="14"/>
      <c r="P174" s="14"/>
      <c r="Q174" s="15"/>
    </row>
    <row r="175" customFormat="false" ht="23.85" hidden="false" customHeight="false" outlineLevel="0" collapsed="false">
      <c r="A175" s="11" t="n">
        <v>174</v>
      </c>
      <c r="B175" s="12" t="s">
        <v>55</v>
      </c>
      <c r="C175" s="11" t="s">
        <v>468</v>
      </c>
      <c r="D175" s="11" t="s">
        <v>469</v>
      </c>
      <c r="E175" s="12" t="s">
        <v>467</v>
      </c>
      <c r="F175" s="12" t="s">
        <v>467</v>
      </c>
      <c r="G175" s="13" t="s">
        <v>52</v>
      </c>
      <c r="H175" s="12" t="s">
        <v>58</v>
      </c>
      <c r="I175" s="11" t="s">
        <v>54</v>
      </c>
      <c r="J175" s="11"/>
      <c r="K175" s="14"/>
      <c r="L175" s="14"/>
      <c r="M175" s="14"/>
      <c r="N175" s="14"/>
      <c r="O175" s="14"/>
      <c r="P175" s="14"/>
      <c r="Q175" s="15"/>
    </row>
    <row r="176" customFormat="false" ht="15" hidden="false" customHeight="false" outlineLevel="0" collapsed="false">
      <c r="A176" s="11" t="n">
        <v>175</v>
      </c>
      <c r="B176" s="12" t="s">
        <v>59</v>
      </c>
      <c r="C176" s="11" t="s">
        <v>470</v>
      </c>
      <c r="D176" s="12" t="s">
        <v>471</v>
      </c>
      <c r="E176" s="12" t="s">
        <v>467</v>
      </c>
      <c r="F176" s="12" t="s">
        <v>467</v>
      </c>
      <c r="G176" s="13" t="s">
        <v>52</v>
      </c>
      <c r="H176" s="12" t="s">
        <v>58</v>
      </c>
      <c r="I176" s="11" t="s">
        <v>54</v>
      </c>
      <c r="J176" s="11"/>
      <c r="K176" s="14"/>
      <c r="L176" s="14"/>
      <c r="M176" s="14"/>
      <c r="N176" s="14"/>
      <c r="O176" s="14"/>
      <c r="P176" s="14"/>
      <c r="Q176" s="15"/>
    </row>
    <row r="177" customFormat="false" ht="15" hidden="false" customHeight="false" outlineLevel="0" collapsed="false">
      <c r="A177" s="11" t="n">
        <v>176</v>
      </c>
      <c r="B177" s="12" t="s">
        <v>63</v>
      </c>
      <c r="C177" s="11" t="s">
        <v>472</v>
      </c>
      <c r="D177" s="11" t="s">
        <v>473</v>
      </c>
      <c r="E177" s="12" t="s">
        <v>467</v>
      </c>
      <c r="F177" s="12" t="s">
        <v>467</v>
      </c>
      <c r="G177" s="13" t="s">
        <v>52</v>
      </c>
      <c r="H177" s="12" t="s">
        <v>82</v>
      </c>
      <c r="I177" s="12" t="s">
        <v>167</v>
      </c>
      <c r="J177" s="12" t="s">
        <v>178</v>
      </c>
      <c r="K177" s="14"/>
      <c r="L177" s="14"/>
      <c r="M177" s="14"/>
      <c r="N177" s="14"/>
      <c r="O177" s="14"/>
      <c r="P177" s="14"/>
      <c r="Q177" s="15"/>
    </row>
    <row r="178" customFormat="false" ht="15" hidden="false" customHeight="false" outlineLevel="0" collapsed="false">
      <c r="A178" s="11" t="n">
        <v>177</v>
      </c>
      <c r="B178" s="12" t="s">
        <v>47</v>
      </c>
      <c r="C178" s="11" t="s">
        <v>474</v>
      </c>
      <c r="D178" s="11" t="s">
        <v>475</v>
      </c>
      <c r="E178" s="12" t="s">
        <v>467</v>
      </c>
      <c r="F178" s="12" t="s">
        <v>467</v>
      </c>
      <c r="G178" s="13" t="s">
        <v>52</v>
      </c>
      <c r="H178" s="12" t="s">
        <v>82</v>
      </c>
      <c r="I178" s="12" t="s">
        <v>167</v>
      </c>
      <c r="J178" s="12" t="s">
        <v>178</v>
      </c>
      <c r="K178" s="14"/>
      <c r="L178" s="14"/>
      <c r="M178" s="14"/>
      <c r="N178" s="14"/>
      <c r="O178" s="14"/>
      <c r="P178" s="14"/>
      <c r="Q178" s="15"/>
    </row>
    <row r="179" customFormat="false" ht="15" hidden="false" customHeight="false" outlineLevel="0" collapsed="false">
      <c r="A179" s="11" t="n">
        <v>178</v>
      </c>
      <c r="B179" s="12" t="s">
        <v>55</v>
      </c>
      <c r="C179" s="11" t="s">
        <v>476</v>
      </c>
      <c r="D179" s="11" t="s">
        <v>477</v>
      </c>
      <c r="E179" s="12" t="s">
        <v>467</v>
      </c>
      <c r="F179" s="12" t="s">
        <v>467</v>
      </c>
      <c r="G179" s="13" t="s">
        <v>52</v>
      </c>
      <c r="H179" s="12" t="s">
        <v>82</v>
      </c>
      <c r="I179" s="12" t="s">
        <v>167</v>
      </c>
      <c r="J179" s="12" t="s">
        <v>178</v>
      </c>
      <c r="K179" s="14"/>
      <c r="L179" s="14"/>
      <c r="M179" s="14"/>
      <c r="N179" s="14"/>
      <c r="O179" s="14"/>
      <c r="P179" s="14"/>
      <c r="Q179" s="15"/>
    </row>
    <row r="180" customFormat="false" ht="26.85" hidden="false" customHeight="false" outlineLevel="0" collapsed="false">
      <c r="A180" s="11" t="n">
        <v>179</v>
      </c>
      <c r="B180" s="12" t="s">
        <v>59</v>
      </c>
      <c r="C180" s="11" t="s">
        <v>478</v>
      </c>
      <c r="D180" s="11" t="s">
        <v>479</v>
      </c>
      <c r="E180" s="12" t="s">
        <v>467</v>
      </c>
      <c r="F180" s="12" t="s">
        <v>467</v>
      </c>
      <c r="G180" s="13" t="s">
        <v>52</v>
      </c>
      <c r="H180" s="12" t="s">
        <v>102</v>
      </c>
      <c r="I180" s="12" t="s">
        <v>103</v>
      </c>
      <c r="J180" s="12" t="s">
        <v>191</v>
      </c>
      <c r="K180" s="14"/>
      <c r="L180" s="14"/>
      <c r="M180" s="14"/>
      <c r="N180" s="14"/>
      <c r="O180" s="14"/>
      <c r="P180" s="14"/>
      <c r="Q180" s="15"/>
    </row>
    <row r="181" customFormat="false" ht="23.85" hidden="false" customHeight="false" outlineLevel="0" collapsed="false">
      <c r="A181" s="11" t="n">
        <v>180</v>
      </c>
      <c r="B181" s="12" t="s">
        <v>63</v>
      </c>
      <c r="C181" s="11" t="s">
        <v>480</v>
      </c>
      <c r="D181" s="12" t="s">
        <v>481</v>
      </c>
      <c r="E181" s="12" t="s">
        <v>467</v>
      </c>
      <c r="F181" s="12" t="s">
        <v>467</v>
      </c>
      <c r="G181" s="13" t="s">
        <v>52</v>
      </c>
      <c r="H181" s="12" t="s">
        <v>102</v>
      </c>
      <c r="I181" s="12" t="s">
        <v>103</v>
      </c>
      <c r="J181" s="12" t="s">
        <v>191</v>
      </c>
      <c r="K181" s="14"/>
      <c r="L181" s="14"/>
      <c r="M181" s="14"/>
      <c r="N181" s="14"/>
      <c r="O181" s="14"/>
      <c r="P181" s="14"/>
      <c r="Q181" s="15"/>
    </row>
    <row r="182" customFormat="false" ht="15" hidden="false" customHeight="false" outlineLevel="0" collapsed="false">
      <c r="A182" s="11" t="n">
        <v>181</v>
      </c>
      <c r="B182" s="12" t="s">
        <v>47</v>
      </c>
      <c r="C182" s="11" t="s">
        <v>482</v>
      </c>
      <c r="D182" s="12" t="s">
        <v>483</v>
      </c>
      <c r="E182" s="12" t="s">
        <v>467</v>
      </c>
      <c r="F182" s="12" t="s">
        <v>467</v>
      </c>
      <c r="G182" s="13" t="s">
        <v>52</v>
      </c>
      <c r="H182" s="12" t="s">
        <v>58</v>
      </c>
      <c r="I182" s="11" t="s">
        <v>54</v>
      </c>
      <c r="J182" s="11"/>
      <c r="K182" s="14"/>
      <c r="L182" s="14"/>
      <c r="M182" s="14"/>
      <c r="N182" s="14"/>
      <c r="O182" s="14"/>
      <c r="P182" s="14"/>
      <c r="Q182" s="15"/>
    </row>
    <row r="183" customFormat="false" ht="15" hidden="false" customHeight="false" outlineLevel="0" collapsed="false">
      <c r="A183" s="11" t="n">
        <v>182</v>
      </c>
      <c r="B183" s="12" t="s">
        <v>55</v>
      </c>
      <c r="C183" s="11" t="s">
        <v>484</v>
      </c>
      <c r="D183" s="11" t="s">
        <v>485</v>
      </c>
      <c r="E183" s="12" t="s">
        <v>467</v>
      </c>
      <c r="F183" s="12" t="s">
        <v>467</v>
      </c>
      <c r="G183" s="13" t="s">
        <v>52</v>
      </c>
      <c r="H183" s="12" t="s">
        <v>58</v>
      </c>
      <c r="I183" s="11" t="s">
        <v>54</v>
      </c>
      <c r="J183" s="11"/>
      <c r="K183" s="14"/>
      <c r="L183" s="14"/>
      <c r="M183" s="14"/>
      <c r="N183" s="14"/>
      <c r="O183" s="14"/>
      <c r="P183" s="14"/>
      <c r="Q183" s="15"/>
    </row>
    <row r="184" customFormat="false" ht="15" hidden="false" customHeight="false" outlineLevel="0" collapsed="false">
      <c r="A184" s="11" t="n">
        <v>183</v>
      </c>
      <c r="B184" s="12" t="s">
        <v>59</v>
      </c>
      <c r="C184" s="11" t="s">
        <v>486</v>
      </c>
      <c r="D184" s="11" t="s">
        <v>487</v>
      </c>
      <c r="E184" s="12" t="s">
        <v>467</v>
      </c>
      <c r="F184" s="12" t="s">
        <v>467</v>
      </c>
      <c r="G184" s="13" t="s">
        <v>52</v>
      </c>
      <c r="H184" s="12" t="s">
        <v>102</v>
      </c>
      <c r="I184" s="12" t="s">
        <v>103</v>
      </c>
      <c r="J184" s="12" t="s">
        <v>191</v>
      </c>
      <c r="K184" s="14"/>
      <c r="L184" s="14"/>
      <c r="M184" s="14"/>
      <c r="N184" s="14"/>
      <c r="O184" s="14"/>
      <c r="P184" s="14"/>
      <c r="Q184" s="15"/>
    </row>
  </sheetData>
  <autoFilter ref="A1:Q184"/>
  <conditionalFormatting sqref="L2:L184">
    <cfRule type="expression" priority="2" aboveAverage="0" equalAverage="0" bottom="0" percent="0" rank="0" text="" dxfId="6">
      <formula>AND(OR(L2="틀림",L2="일부 틀림"),M2="",N2="")</formula>
    </cfRule>
  </conditionalFormatting>
  <dataValidations count="4">
    <dataValidation allowBlank="true" error="관련 / 일부 관련 / 무관 중에서 고르세요" errorStyle="stop" errorTitle="목록에서 고르세요" operator="between" showDropDown="false" showErrorMessage="true" showInputMessage="false" sqref="K2:K184" type="list">
      <formula1>"관련,일부 관련,무관"</formula1>
      <formula2>0</formula2>
    </dataValidation>
    <dataValidation allowBlank="true" error="맞음 / 일부 틀림 / 틀림 중에서 고르세요" errorStyle="stop" errorTitle="목록에서 고르세요" operator="between" showDropDown="false" showErrorMessage="true" showInputMessage="false" sqref="L2:L184" type="list">
      <formula1>"맞음,일부 틀림,틀림"</formula1>
      <formula2>0</formula2>
    </dataValidation>
    <dataValidation allowBlank="true" error="팀원A~D 중에서 고르세요" errorStyle="stop" errorTitle="목록에서 고르세요" operator="between" showDropDown="false" showErrorMessage="true" showInputMessage="false" sqref="P2:P184" type="list">
      <formula1>"팀원A,팀원B,팀원C,팀원D"</formula1>
      <formula2>0</formula2>
    </dataValidation>
    <dataValidation allowBlank="true" error="날짜(예: 2026-10-30)를 입력하세요" errorStyle="stop" operator="greaterThan" showDropDown="false" showErrorMessage="true" showInputMessage="false" sqref="Q2:Q184" type="date">
      <formula1>DATE(2026,1,1)</formula1>
      <formula2>0</formula2>
    </dataValidation>
  </dataValidations>
  <hyperlinks>
    <hyperlink ref="G2" r:id="rId2" display="열기"/>
    <hyperlink ref="G3" r:id="rId3" display="열기"/>
    <hyperlink ref="G4" r:id="rId4" display="열기"/>
    <hyperlink ref="G5" r:id="rId5" display="열기"/>
    <hyperlink ref="G6" r:id="rId6" display="열기"/>
    <hyperlink ref="G7" r:id="rId7" display="열기"/>
    <hyperlink ref="G8" r:id="rId8" display="열기"/>
    <hyperlink ref="G9" r:id="rId9" display="열기"/>
    <hyperlink ref="G10" r:id="rId10" display="열기"/>
    <hyperlink ref="G11" r:id="rId11" display="열기"/>
    <hyperlink ref="G12" r:id="rId12" display="열기"/>
    <hyperlink ref="G13" r:id="rId13" display="열기"/>
    <hyperlink ref="G14" r:id="rId14" display="열기"/>
    <hyperlink ref="G15" r:id="rId15" display="열기"/>
    <hyperlink ref="G16" r:id="rId16" display="열기"/>
    <hyperlink ref="G17" r:id="rId17" display="열기"/>
    <hyperlink ref="G18" r:id="rId18" display="열기"/>
    <hyperlink ref="G19" r:id="rId19" display="열기"/>
    <hyperlink ref="G20" r:id="rId20" display="열기"/>
    <hyperlink ref="G21" r:id="rId21" display="열기"/>
    <hyperlink ref="G22" r:id="rId22" display="열기"/>
    <hyperlink ref="G23" r:id="rId23" display="열기"/>
    <hyperlink ref="G24" r:id="rId24" display="열기"/>
    <hyperlink ref="G25" r:id="rId25" display="열기"/>
    <hyperlink ref="G26" r:id="rId26" display="열기"/>
    <hyperlink ref="G27" r:id="rId27" display="열기"/>
    <hyperlink ref="G28" r:id="rId28" display="열기"/>
    <hyperlink ref="G29" r:id="rId29" display="열기"/>
    <hyperlink ref="G30" r:id="rId30" display="열기"/>
    <hyperlink ref="G31" r:id="rId31" display="열기"/>
    <hyperlink ref="G32" r:id="rId32" display="열기"/>
    <hyperlink ref="G33" r:id="rId33" display="열기"/>
    <hyperlink ref="G34" r:id="rId34" display="열기"/>
    <hyperlink ref="G35" r:id="rId35" display="열기"/>
    <hyperlink ref="G36" r:id="rId36" display="열기"/>
    <hyperlink ref="G37" r:id="rId37" display="열기"/>
    <hyperlink ref="G38" r:id="rId38" display="열기"/>
    <hyperlink ref="G39" r:id="rId39" display="열기"/>
    <hyperlink ref="G40" r:id="rId40" display="열기"/>
    <hyperlink ref="G41" r:id="rId41" display="열기"/>
    <hyperlink ref="G42" r:id="rId42" display="열기"/>
    <hyperlink ref="G43" r:id="rId43" display="열기"/>
    <hyperlink ref="G44" r:id="rId44" display="열기"/>
    <hyperlink ref="G45" r:id="rId45" display="열기"/>
    <hyperlink ref="G46" r:id="rId46" display="열기"/>
    <hyperlink ref="G47" r:id="rId47" display="열기"/>
    <hyperlink ref="G48" r:id="rId48" display="열기"/>
    <hyperlink ref="G49" r:id="rId49" display="열기"/>
    <hyperlink ref="G50" r:id="rId50" display="열기"/>
    <hyperlink ref="G51" r:id="rId51" display="열기"/>
    <hyperlink ref="G52" r:id="rId52" display="열기"/>
    <hyperlink ref="G53" r:id="rId53" display="열기"/>
    <hyperlink ref="G54" r:id="rId54" display="열기"/>
    <hyperlink ref="G55" r:id="rId55" display="열기"/>
    <hyperlink ref="G56" r:id="rId56" display="열기"/>
    <hyperlink ref="G57" r:id="rId57" display="열기"/>
    <hyperlink ref="G58" r:id="rId58" display="열기"/>
    <hyperlink ref="G59" r:id="rId59" display="열기"/>
    <hyperlink ref="G60" r:id="rId60" display="열기"/>
    <hyperlink ref="G61" r:id="rId61" display="열기"/>
    <hyperlink ref="G62" r:id="rId62" display="열기"/>
    <hyperlink ref="G63" r:id="rId63" display="열기"/>
    <hyperlink ref="G64" r:id="rId64" display="열기"/>
    <hyperlink ref="G65" r:id="rId65" display="열기"/>
    <hyperlink ref="G66" r:id="rId66" display="열기"/>
    <hyperlink ref="G67" r:id="rId67" display="열기"/>
    <hyperlink ref="G68" r:id="rId68" display="열기"/>
    <hyperlink ref="G69" r:id="rId69" display="열기"/>
    <hyperlink ref="G70" r:id="rId70" display="열기"/>
    <hyperlink ref="G71" r:id="rId71" display="열기"/>
    <hyperlink ref="G72" r:id="rId72" display="열기"/>
    <hyperlink ref="G73" r:id="rId73" display="열기"/>
    <hyperlink ref="G74" r:id="rId74" display="열기"/>
    <hyperlink ref="G75" r:id="rId75" display="열기"/>
    <hyperlink ref="G76" r:id="rId76" display="열기"/>
    <hyperlink ref="G77" r:id="rId77" display="열기"/>
    <hyperlink ref="G78" r:id="rId78" display="열기"/>
    <hyperlink ref="G79" r:id="rId79" display="열기"/>
    <hyperlink ref="G80" r:id="rId80" display="열기"/>
    <hyperlink ref="G81" r:id="rId81" display="열기"/>
    <hyperlink ref="G82" r:id="rId82" display="열기"/>
    <hyperlink ref="G83" r:id="rId83" display="열기"/>
    <hyperlink ref="G84" r:id="rId84" display="열기"/>
    <hyperlink ref="G85" r:id="rId85" display="열기"/>
    <hyperlink ref="G86" r:id="rId86" display="열기"/>
    <hyperlink ref="G87" r:id="rId87" display="열기"/>
    <hyperlink ref="G88" r:id="rId88" display="열기"/>
    <hyperlink ref="G89" r:id="rId89" display="열기"/>
    <hyperlink ref="G90" r:id="rId90" display="열기"/>
    <hyperlink ref="G91" r:id="rId91" display="열기"/>
    <hyperlink ref="G92" r:id="rId92" display="열기"/>
    <hyperlink ref="G93" r:id="rId93" display="열기"/>
    <hyperlink ref="G94" r:id="rId94" display="열기"/>
    <hyperlink ref="G95" r:id="rId95" display="열기"/>
    <hyperlink ref="G96" r:id="rId96" display="열기"/>
    <hyperlink ref="G97" r:id="rId97" display="열기"/>
    <hyperlink ref="G98" r:id="rId98" display="열기"/>
    <hyperlink ref="G99" r:id="rId99" display="열기"/>
    <hyperlink ref="G100" r:id="rId100" display="열기"/>
    <hyperlink ref="G101" r:id="rId101" display="열기"/>
    <hyperlink ref="G102" r:id="rId102" display="열기"/>
    <hyperlink ref="G103" r:id="rId103" display="열기"/>
    <hyperlink ref="G104" r:id="rId104" display="열기"/>
    <hyperlink ref="G105" r:id="rId105" display="열기"/>
    <hyperlink ref="G106" r:id="rId106" display="열기"/>
    <hyperlink ref="G107" r:id="rId107" display="열기"/>
    <hyperlink ref="G108" r:id="rId108" display="열기"/>
    <hyperlink ref="G109" r:id="rId109" display="열기"/>
    <hyperlink ref="G110" r:id="rId110" display="열기"/>
    <hyperlink ref="G111" r:id="rId111" display="열기"/>
    <hyperlink ref="G112" r:id="rId112" display="열기"/>
    <hyperlink ref="G113" r:id="rId113" display="열기"/>
    <hyperlink ref="G114" r:id="rId114" display="열기"/>
    <hyperlink ref="G115" r:id="rId115" display="열기"/>
    <hyperlink ref="G116" r:id="rId116" display="열기"/>
    <hyperlink ref="G117" r:id="rId117" display="열기"/>
    <hyperlink ref="G118" r:id="rId118" display="열기"/>
    <hyperlink ref="G119" r:id="rId119" display="열기"/>
    <hyperlink ref="G120" r:id="rId120" display="열기"/>
    <hyperlink ref="G121" r:id="rId121" display="열기"/>
    <hyperlink ref="G122" r:id="rId122" display="열기"/>
    <hyperlink ref="G123" r:id="rId123" display="열기"/>
    <hyperlink ref="G124" r:id="rId124" display="열기"/>
    <hyperlink ref="G125" r:id="rId125" display="열기"/>
    <hyperlink ref="G126" r:id="rId126" display="열기"/>
    <hyperlink ref="G127" r:id="rId127" display="열기"/>
    <hyperlink ref="G128" r:id="rId128" display="열기"/>
    <hyperlink ref="G129" r:id="rId129" display="열기"/>
    <hyperlink ref="G130" r:id="rId130" display="열기"/>
    <hyperlink ref="G131" r:id="rId131" display="열기"/>
    <hyperlink ref="G132" r:id="rId132" display="열기"/>
    <hyperlink ref="G133" r:id="rId133" display="열기"/>
    <hyperlink ref="G134" r:id="rId134" display="열기"/>
    <hyperlink ref="G135" r:id="rId135" display="열기"/>
    <hyperlink ref="G136" r:id="rId136" display="열기"/>
    <hyperlink ref="G137" r:id="rId137" display="열기"/>
    <hyperlink ref="G138" r:id="rId138" display="열기"/>
    <hyperlink ref="G139" r:id="rId139" display="열기"/>
    <hyperlink ref="G140" r:id="rId140" display="열기"/>
    <hyperlink ref="G141" r:id="rId141" display="열기"/>
    <hyperlink ref="G142" r:id="rId142" display="열기"/>
    <hyperlink ref="G143" r:id="rId143" display="열기"/>
    <hyperlink ref="G144" r:id="rId144" display="열기"/>
    <hyperlink ref="G145" r:id="rId145" display="열기"/>
    <hyperlink ref="G146" r:id="rId146" display="열기"/>
    <hyperlink ref="G147" r:id="rId147" display="열기"/>
    <hyperlink ref="G148" r:id="rId148" display="열기"/>
    <hyperlink ref="G149" r:id="rId149" display="열기"/>
    <hyperlink ref="G150" r:id="rId150" display="열기"/>
    <hyperlink ref="G151" r:id="rId151" display="열기"/>
    <hyperlink ref="G152" r:id="rId152" display="열기"/>
    <hyperlink ref="G153" r:id="rId153" display="열기"/>
    <hyperlink ref="G154" r:id="rId154" display="열기"/>
    <hyperlink ref="G155" r:id="rId155" display="열기"/>
    <hyperlink ref="G156" r:id="rId156" display="열기"/>
    <hyperlink ref="G157" r:id="rId157" display="열기"/>
    <hyperlink ref="G158" r:id="rId158" display="열기"/>
    <hyperlink ref="G159" r:id="rId159" display="열기"/>
    <hyperlink ref="G160" r:id="rId160" display="열기"/>
    <hyperlink ref="G161" r:id="rId161" display="열기"/>
    <hyperlink ref="G162" r:id="rId162" display="열기"/>
    <hyperlink ref="G163" r:id="rId163" display="열기"/>
    <hyperlink ref="G164" r:id="rId164" display="열기"/>
    <hyperlink ref="G165" r:id="rId165" display="열기"/>
    <hyperlink ref="G166" r:id="rId166" display="열기"/>
    <hyperlink ref="G167" r:id="rId167" display="열기"/>
    <hyperlink ref="G168" r:id="rId168" display="열기"/>
    <hyperlink ref="G169" r:id="rId169" display="열기"/>
    <hyperlink ref="G170" r:id="rId170" display="열기"/>
    <hyperlink ref="G171" r:id="rId171" display="열기"/>
    <hyperlink ref="G172" r:id="rId172" display="열기"/>
    <hyperlink ref="G173" r:id="rId173" display="열기"/>
    <hyperlink ref="G174" r:id="rId174" display="열기"/>
    <hyperlink ref="G175" r:id="rId175" display="열기"/>
    <hyperlink ref="G176" r:id="rId176" display="열기"/>
    <hyperlink ref="G177" r:id="rId177" display="열기"/>
    <hyperlink ref="G178" r:id="rId178" display="열기"/>
    <hyperlink ref="G179" r:id="rId179" display="열기"/>
    <hyperlink ref="G180" r:id="rId180" display="열기"/>
    <hyperlink ref="G181" r:id="rId181" display="열기"/>
    <hyperlink ref="G182" r:id="rId182" display="열기"/>
    <hyperlink ref="G183" r:id="rId183" display="열기"/>
    <hyperlink ref="G184" r:id="rId184" display="열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5"/>
  <legacyDrawing r:id="rId18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2" min="11" style="0" width="20"/>
    <col collapsed="false" customWidth="true" hidden="false" outlineLevel="0" max="13" min="13" style="0" width="30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true" outlineLevel="0" max="16" min="16" style="0" width="9"/>
    <col collapsed="false" customWidth="true" hidden="true" outlineLevel="0" max="18" min="17" style="0" width="12"/>
    <col collapsed="false" customWidth="true" hidden="true" outlineLevel="0" max="20" min="19" style="0" width="10"/>
  </cols>
  <sheetData>
    <row r="1" customFormat="false" ht="31.5" hidden="false" customHeight="true" outlineLevel="0" collapsed="false">
      <c r="A1" s="10" t="s">
        <v>37</v>
      </c>
      <c r="B1" s="10" t="s">
        <v>488</v>
      </c>
      <c r="C1" s="10" t="s">
        <v>38</v>
      </c>
      <c r="D1" s="10" t="s">
        <v>24</v>
      </c>
      <c r="E1" s="10" t="s">
        <v>39</v>
      </c>
      <c r="F1" s="10" t="s">
        <v>41</v>
      </c>
      <c r="G1" s="10" t="s">
        <v>26</v>
      </c>
      <c r="H1" s="10" t="s">
        <v>43</v>
      </c>
      <c r="I1" s="10" t="s">
        <v>44</v>
      </c>
      <c r="J1" s="10" t="s">
        <v>11</v>
      </c>
      <c r="K1" s="10" t="s">
        <v>32</v>
      </c>
      <c r="L1" s="10" t="s">
        <v>34</v>
      </c>
      <c r="M1" s="10" t="s">
        <v>35</v>
      </c>
      <c r="N1" s="10" t="s">
        <v>45</v>
      </c>
      <c r="O1" s="10" t="s">
        <v>46</v>
      </c>
      <c r="P1" s="16" t="s">
        <v>489</v>
      </c>
      <c r="Q1" s="16" t="s">
        <v>490</v>
      </c>
      <c r="R1" s="16" t="s">
        <v>491</v>
      </c>
      <c r="S1" s="10" t="s">
        <v>492</v>
      </c>
      <c r="T1" s="10" t="s">
        <v>493</v>
      </c>
    </row>
    <row r="2" customFormat="false" ht="23.85" hidden="false" customHeight="false" outlineLevel="0" collapsed="false">
      <c r="A2" s="11" t="n">
        <v>1</v>
      </c>
      <c r="B2" s="12" t="s">
        <v>55</v>
      </c>
      <c r="C2" s="11" t="s">
        <v>48</v>
      </c>
      <c r="D2" s="12" t="s">
        <v>49</v>
      </c>
      <c r="E2" s="12" t="s">
        <v>50</v>
      </c>
      <c r="F2" s="13" t="s">
        <v>52</v>
      </c>
      <c r="G2" s="11" t="s">
        <v>54</v>
      </c>
      <c r="H2" s="11"/>
      <c r="I2" s="14"/>
      <c r="J2" s="14"/>
      <c r="K2" s="14"/>
      <c r="L2" s="14"/>
      <c r="M2" s="14"/>
      <c r="N2" s="14"/>
      <c r="O2" s="15"/>
      <c r="P2" s="12" t="s">
        <v>47</v>
      </c>
      <c r="Q2" s="11" t="str">
        <f aca="false">IFERROR(IF(INDEX(검수!$K$2:$K$184,MATCH($C2,검수!$C$2:$C$184,0))="","",INDEX(검수!$K$2:$K$184,MATCH($C2,검수!$C$2:$C$184,0))),"")</f>
        <v/>
      </c>
      <c r="R2" s="11" t="str">
        <f aca="false">IFERROR(IF(INDEX(검수!$L$2:$L$184,MATCH($C2,검수!$C$2:$C$184,0))="","",INDEX(검수!$L$2:$L$184,MATCH($C2,검수!$C$2:$C$184,0))),"")</f>
        <v/>
      </c>
      <c r="S2" s="11" t="str">
        <f aca="false">IF(OR(R2="",J2=""),"",IF(R2=J2,"일치","불일치"))</f>
        <v/>
      </c>
      <c r="T2" s="11" t="str">
        <f aca="false">IF(OR(Q2="",I2=""),"",IF(Q2=I2,"일치","불일치"))</f>
        <v/>
      </c>
    </row>
    <row r="3" customFormat="false" ht="26.85" hidden="false" customHeight="false" outlineLevel="0" collapsed="false">
      <c r="A3" s="11" t="n">
        <v>2</v>
      </c>
      <c r="B3" s="12" t="s">
        <v>47</v>
      </c>
      <c r="C3" s="11" t="s">
        <v>87</v>
      </c>
      <c r="D3" s="12" t="s">
        <v>25</v>
      </c>
      <c r="E3" s="12" t="s">
        <v>88</v>
      </c>
      <c r="F3" s="13" t="s">
        <v>52</v>
      </c>
      <c r="G3" s="12" t="s">
        <v>27</v>
      </c>
      <c r="H3" s="12" t="s">
        <v>90</v>
      </c>
      <c r="I3" s="14"/>
      <c r="J3" s="14"/>
      <c r="K3" s="14"/>
      <c r="L3" s="14"/>
      <c r="M3" s="14"/>
      <c r="N3" s="14"/>
      <c r="O3" s="15"/>
      <c r="P3" s="12" t="s">
        <v>63</v>
      </c>
      <c r="Q3" s="11" t="str">
        <f aca="false">IFERROR(IF(INDEX(검수!$K$2:$K$184,MATCH($C3,검수!$C$2:$C$184,0))="","",INDEX(검수!$K$2:$K$184,MATCH($C3,검수!$C$2:$C$184,0))),"")</f>
        <v/>
      </c>
      <c r="R3" s="11" t="str">
        <f aca="false">IFERROR(IF(INDEX(검수!$L$2:$L$184,MATCH($C3,검수!$C$2:$C$184,0))="","",INDEX(검수!$L$2:$L$184,MATCH($C3,검수!$C$2:$C$184,0))),"")</f>
        <v/>
      </c>
      <c r="S3" s="11" t="str">
        <f aca="false">IF(OR(R3="",J3=""),"",IF(R3=J3,"일치","불일치"))</f>
        <v/>
      </c>
      <c r="T3" s="11" t="str">
        <f aca="false">IF(OR(Q3="",I3=""),"",IF(Q3=I3,"일치","불일치"))</f>
        <v/>
      </c>
    </row>
    <row r="4" customFormat="false" ht="23.85" hidden="false" customHeight="false" outlineLevel="0" collapsed="false">
      <c r="A4" s="11" t="n">
        <v>3</v>
      </c>
      <c r="B4" s="12" t="s">
        <v>59</v>
      </c>
      <c r="C4" s="11" t="s">
        <v>91</v>
      </c>
      <c r="D4" s="11" t="s">
        <v>92</v>
      </c>
      <c r="E4" s="12" t="s">
        <v>93</v>
      </c>
      <c r="F4" s="13" t="s">
        <v>52</v>
      </c>
      <c r="G4" s="12" t="s">
        <v>94</v>
      </c>
      <c r="H4" s="12" t="s">
        <v>95</v>
      </c>
      <c r="I4" s="14"/>
      <c r="J4" s="14"/>
      <c r="K4" s="14"/>
      <c r="L4" s="14"/>
      <c r="M4" s="14"/>
      <c r="N4" s="14"/>
      <c r="O4" s="15"/>
      <c r="P4" s="12" t="s">
        <v>47</v>
      </c>
      <c r="Q4" s="11" t="str">
        <f aca="false">IFERROR(IF(INDEX(검수!$K$2:$K$184,MATCH($C4,검수!$C$2:$C$184,0))="","",INDEX(검수!$K$2:$K$184,MATCH($C4,검수!$C$2:$C$184,0))),"")</f>
        <v/>
      </c>
      <c r="R4" s="11" t="str">
        <f aca="false">IFERROR(IF(INDEX(검수!$L$2:$L$184,MATCH($C4,검수!$C$2:$C$184,0))="","",INDEX(검수!$L$2:$L$184,MATCH($C4,검수!$C$2:$C$184,0))),"")</f>
        <v/>
      </c>
      <c r="S4" s="11" t="str">
        <f aca="false">IF(OR(R4="",J4=""),"",IF(R4=J4,"일치","불일치"))</f>
        <v/>
      </c>
      <c r="T4" s="11" t="str">
        <f aca="false">IF(OR(Q4="",I4=""),"",IF(Q4=I4,"일치","불일치"))</f>
        <v/>
      </c>
    </row>
    <row r="5" customFormat="false" ht="26.85" hidden="false" customHeight="false" outlineLevel="0" collapsed="false">
      <c r="A5" s="11" t="n">
        <v>4</v>
      </c>
      <c r="B5" s="12" t="s">
        <v>63</v>
      </c>
      <c r="C5" s="11" t="s">
        <v>99</v>
      </c>
      <c r="D5" s="12" t="s">
        <v>100</v>
      </c>
      <c r="E5" s="12" t="s">
        <v>101</v>
      </c>
      <c r="F5" s="13" t="s">
        <v>52</v>
      </c>
      <c r="G5" s="12" t="s">
        <v>103</v>
      </c>
      <c r="H5" s="12" t="s">
        <v>104</v>
      </c>
      <c r="I5" s="14"/>
      <c r="J5" s="14"/>
      <c r="K5" s="14"/>
      <c r="L5" s="14"/>
      <c r="M5" s="14"/>
      <c r="N5" s="14"/>
      <c r="O5" s="15"/>
      <c r="P5" s="12" t="s">
        <v>59</v>
      </c>
      <c r="Q5" s="11" t="str">
        <f aca="false">IFERROR(IF(INDEX(검수!$K$2:$K$184,MATCH($C5,검수!$C$2:$C$184,0))="","",INDEX(검수!$K$2:$K$184,MATCH($C5,검수!$C$2:$C$184,0))),"")</f>
        <v/>
      </c>
      <c r="R5" s="11" t="str">
        <f aca="false">IFERROR(IF(INDEX(검수!$L$2:$L$184,MATCH($C5,검수!$C$2:$C$184,0))="","",INDEX(검수!$L$2:$L$184,MATCH($C5,검수!$C$2:$C$184,0))),"")</f>
        <v/>
      </c>
      <c r="S5" s="11" t="str">
        <f aca="false">IF(OR(R5="",J5=""),"",IF(R5=J5,"일치","불일치"))</f>
        <v/>
      </c>
      <c r="T5" s="11" t="str">
        <f aca="false">IF(OR(Q5="",I5=""),"",IF(Q5=I5,"일치","불일치"))</f>
        <v/>
      </c>
    </row>
    <row r="6" customFormat="false" ht="25.35" hidden="false" customHeight="false" outlineLevel="0" collapsed="false">
      <c r="A6" s="11" t="n">
        <v>5</v>
      </c>
      <c r="B6" s="12" t="s">
        <v>55</v>
      </c>
      <c r="C6" s="11" t="s">
        <v>145</v>
      </c>
      <c r="D6" s="12" t="s">
        <v>146</v>
      </c>
      <c r="E6" s="12" t="s">
        <v>139</v>
      </c>
      <c r="F6" s="13" t="s">
        <v>52</v>
      </c>
      <c r="G6" s="12" t="s">
        <v>94</v>
      </c>
      <c r="H6" s="12" t="s">
        <v>118</v>
      </c>
      <c r="I6" s="14"/>
      <c r="J6" s="14"/>
      <c r="K6" s="14"/>
      <c r="L6" s="14"/>
      <c r="M6" s="14"/>
      <c r="N6" s="14"/>
      <c r="O6" s="15"/>
      <c r="P6" s="12" t="s">
        <v>47</v>
      </c>
      <c r="Q6" s="11" t="str">
        <f aca="false">IFERROR(IF(INDEX(검수!$K$2:$K$184,MATCH($C6,검수!$C$2:$C$184,0))="","",INDEX(검수!$K$2:$K$184,MATCH($C6,검수!$C$2:$C$184,0))),"")</f>
        <v/>
      </c>
      <c r="R6" s="11" t="str">
        <f aca="false">IFERROR(IF(INDEX(검수!$L$2:$L$184,MATCH($C6,검수!$C$2:$C$184,0))="","",INDEX(검수!$L$2:$L$184,MATCH($C6,검수!$C$2:$C$184,0))),"")</f>
        <v/>
      </c>
      <c r="S6" s="11" t="str">
        <f aca="false">IF(OR(R6="",J6=""),"",IF(R6=J6,"일치","불일치"))</f>
        <v/>
      </c>
      <c r="T6" s="11" t="str">
        <f aca="false">IF(OR(Q6="",I6=""),"",IF(Q6=I6,"일치","불일치"))</f>
        <v/>
      </c>
    </row>
    <row r="7" customFormat="false" ht="26.85" hidden="false" customHeight="false" outlineLevel="0" collapsed="false">
      <c r="A7" s="11" t="n">
        <v>6</v>
      </c>
      <c r="B7" s="12" t="s">
        <v>47</v>
      </c>
      <c r="C7" s="11" t="s">
        <v>158</v>
      </c>
      <c r="D7" s="11" t="s">
        <v>159</v>
      </c>
      <c r="E7" s="12" t="s">
        <v>139</v>
      </c>
      <c r="F7" s="13" t="s">
        <v>52</v>
      </c>
      <c r="G7" s="11" t="s">
        <v>54</v>
      </c>
      <c r="H7" s="11"/>
      <c r="I7" s="14"/>
      <c r="J7" s="14"/>
      <c r="K7" s="14"/>
      <c r="L7" s="14"/>
      <c r="M7" s="14"/>
      <c r="N7" s="14"/>
      <c r="O7" s="15"/>
      <c r="P7" s="12" t="s">
        <v>59</v>
      </c>
      <c r="Q7" s="11" t="str">
        <f aca="false">IFERROR(IF(INDEX(검수!$K$2:$K$184,MATCH($C7,검수!$C$2:$C$184,0))="","",INDEX(검수!$K$2:$K$184,MATCH($C7,검수!$C$2:$C$184,0))),"")</f>
        <v/>
      </c>
      <c r="R7" s="11" t="str">
        <f aca="false">IFERROR(IF(INDEX(검수!$L$2:$L$184,MATCH($C7,검수!$C$2:$C$184,0))="","",INDEX(검수!$L$2:$L$184,MATCH($C7,검수!$C$2:$C$184,0))),"")</f>
        <v/>
      </c>
      <c r="S7" s="11" t="str">
        <f aca="false">IF(OR(R7="",J7=""),"",IF(R7=J7,"일치","불일치"))</f>
        <v/>
      </c>
      <c r="T7" s="11" t="str">
        <f aca="false">IF(OR(Q7="",I7=""),"",IF(Q7=I7,"일치","불일치"))</f>
        <v/>
      </c>
    </row>
    <row r="8" customFormat="false" ht="25.35" hidden="false" customHeight="false" outlineLevel="0" collapsed="false">
      <c r="A8" s="11" t="n">
        <v>7</v>
      </c>
      <c r="B8" s="12" t="s">
        <v>59</v>
      </c>
      <c r="C8" s="11" t="s">
        <v>165</v>
      </c>
      <c r="D8" s="11" t="s">
        <v>166</v>
      </c>
      <c r="E8" s="12" t="s">
        <v>139</v>
      </c>
      <c r="F8" s="13" t="s">
        <v>52</v>
      </c>
      <c r="G8" s="12" t="s">
        <v>167</v>
      </c>
      <c r="H8" s="12" t="s">
        <v>168</v>
      </c>
      <c r="I8" s="14"/>
      <c r="J8" s="14"/>
      <c r="K8" s="14"/>
      <c r="L8" s="14"/>
      <c r="M8" s="14"/>
      <c r="N8" s="14"/>
      <c r="O8" s="15"/>
      <c r="P8" s="12" t="s">
        <v>55</v>
      </c>
      <c r="Q8" s="11" t="str">
        <f aca="false">IFERROR(IF(INDEX(검수!$K$2:$K$184,MATCH($C8,검수!$C$2:$C$184,0))="","",INDEX(검수!$K$2:$K$184,MATCH($C8,검수!$C$2:$C$184,0))),"")</f>
        <v/>
      </c>
      <c r="R8" s="11" t="str">
        <f aca="false">IFERROR(IF(INDEX(검수!$L$2:$L$184,MATCH($C8,검수!$C$2:$C$184,0))="","",INDEX(검수!$L$2:$L$184,MATCH($C8,검수!$C$2:$C$184,0))),"")</f>
        <v/>
      </c>
      <c r="S8" s="11" t="str">
        <f aca="false">IF(OR(R8="",J8=""),"",IF(R8=J8,"일치","불일치"))</f>
        <v/>
      </c>
      <c r="T8" s="11" t="str">
        <f aca="false">IF(OR(Q8="",I8=""),"",IF(Q8=I8,"일치","불일치"))</f>
        <v/>
      </c>
    </row>
    <row r="9" customFormat="false" ht="15" hidden="false" customHeight="false" outlineLevel="0" collapsed="false">
      <c r="A9" s="11" t="n">
        <v>8</v>
      </c>
      <c r="B9" s="12" t="s">
        <v>63</v>
      </c>
      <c r="C9" s="11" t="s">
        <v>192</v>
      </c>
      <c r="D9" s="11" t="s">
        <v>193</v>
      </c>
      <c r="E9" s="12" t="s">
        <v>74</v>
      </c>
      <c r="F9" s="13" t="s">
        <v>52</v>
      </c>
      <c r="G9" s="12" t="s">
        <v>167</v>
      </c>
      <c r="H9" s="12" t="s">
        <v>178</v>
      </c>
      <c r="I9" s="14"/>
      <c r="J9" s="14"/>
      <c r="K9" s="14"/>
      <c r="L9" s="14"/>
      <c r="M9" s="14"/>
      <c r="N9" s="14"/>
      <c r="O9" s="15"/>
      <c r="P9" s="12" t="s">
        <v>47</v>
      </c>
      <c r="Q9" s="11" t="str">
        <f aca="false">IFERROR(IF(INDEX(검수!$K$2:$K$184,MATCH($C9,검수!$C$2:$C$184,0))="","",INDEX(검수!$K$2:$K$184,MATCH($C9,검수!$C$2:$C$184,0))),"")</f>
        <v/>
      </c>
      <c r="R9" s="11" t="str">
        <f aca="false">IFERROR(IF(INDEX(검수!$L$2:$L$184,MATCH($C9,검수!$C$2:$C$184,0))="","",INDEX(검수!$L$2:$L$184,MATCH($C9,검수!$C$2:$C$184,0))),"")</f>
        <v/>
      </c>
      <c r="S9" s="11" t="str">
        <f aca="false">IF(OR(R9="",J9=""),"",IF(R9=J9,"일치","불일치"))</f>
        <v/>
      </c>
      <c r="T9" s="11" t="str">
        <f aca="false">IF(OR(Q9="",I9=""),"",IF(Q9=I9,"일치","불일치"))</f>
        <v/>
      </c>
    </row>
    <row r="10" customFormat="false" ht="15" hidden="false" customHeight="false" outlineLevel="0" collapsed="false">
      <c r="A10" s="11" t="n">
        <v>9</v>
      </c>
      <c r="B10" s="12" t="s">
        <v>55</v>
      </c>
      <c r="C10" s="11" t="s">
        <v>200</v>
      </c>
      <c r="D10" s="12" t="s">
        <v>201</v>
      </c>
      <c r="E10" s="12" t="s">
        <v>74</v>
      </c>
      <c r="F10" s="13" t="s">
        <v>52</v>
      </c>
      <c r="G10" s="12" t="s">
        <v>103</v>
      </c>
      <c r="H10" s="12" t="s">
        <v>191</v>
      </c>
      <c r="I10" s="14"/>
      <c r="J10" s="14"/>
      <c r="K10" s="14"/>
      <c r="L10" s="14"/>
      <c r="M10" s="14"/>
      <c r="N10" s="14"/>
      <c r="O10" s="15"/>
      <c r="P10" s="12" t="s">
        <v>47</v>
      </c>
      <c r="Q10" s="11" t="str">
        <f aca="false">IFERROR(IF(INDEX(검수!$K$2:$K$184,MATCH($C10,검수!$C$2:$C$184,0))="","",INDEX(검수!$K$2:$K$184,MATCH($C10,검수!$C$2:$C$184,0))),"")</f>
        <v/>
      </c>
      <c r="R10" s="11" t="str">
        <f aca="false">IFERROR(IF(INDEX(검수!$L$2:$L$184,MATCH($C10,검수!$C$2:$C$184,0))="","",INDEX(검수!$L$2:$L$184,MATCH($C10,검수!$C$2:$C$184,0))),"")</f>
        <v/>
      </c>
      <c r="S10" s="11" t="str">
        <f aca="false">IF(OR(R10="",J10=""),"",IF(R10=J10,"일치","불일치"))</f>
        <v/>
      </c>
      <c r="T10" s="11" t="str">
        <f aca="false">IF(OR(Q10="",I10=""),"",IF(Q10=I10,"일치","불일치"))</f>
        <v/>
      </c>
    </row>
    <row r="11" customFormat="false" ht="15" hidden="false" customHeight="false" outlineLevel="0" collapsed="false">
      <c r="A11" s="11" t="n">
        <v>10</v>
      </c>
      <c r="B11" s="12" t="s">
        <v>47</v>
      </c>
      <c r="C11" s="11" t="s">
        <v>202</v>
      </c>
      <c r="D11" s="12" t="s">
        <v>203</v>
      </c>
      <c r="E11" s="12" t="s">
        <v>74</v>
      </c>
      <c r="F11" s="13" t="s">
        <v>52</v>
      </c>
      <c r="G11" s="12" t="s">
        <v>108</v>
      </c>
      <c r="H11" s="12" t="s">
        <v>109</v>
      </c>
      <c r="I11" s="14"/>
      <c r="J11" s="14"/>
      <c r="K11" s="14"/>
      <c r="L11" s="14"/>
      <c r="M11" s="14"/>
      <c r="N11" s="14"/>
      <c r="O11" s="15"/>
      <c r="P11" s="12" t="s">
        <v>55</v>
      </c>
      <c r="Q11" s="11" t="str">
        <f aca="false">IFERROR(IF(INDEX(검수!$K$2:$K$184,MATCH($C11,검수!$C$2:$C$184,0))="","",INDEX(검수!$K$2:$K$184,MATCH($C11,검수!$C$2:$C$184,0))),"")</f>
        <v/>
      </c>
      <c r="R11" s="11" t="str">
        <f aca="false">IFERROR(IF(INDEX(검수!$L$2:$L$184,MATCH($C11,검수!$C$2:$C$184,0))="","",INDEX(검수!$L$2:$L$184,MATCH($C11,검수!$C$2:$C$184,0))),"")</f>
        <v/>
      </c>
      <c r="S11" s="11" t="str">
        <f aca="false">IF(OR(R11="",J11=""),"",IF(R11=J11,"일치","불일치"))</f>
        <v/>
      </c>
      <c r="T11" s="11" t="str">
        <f aca="false">IF(OR(Q11="",I11=""),"",IF(Q11=I11,"일치","불일치"))</f>
        <v/>
      </c>
    </row>
    <row r="12" customFormat="false" ht="15" hidden="false" customHeight="false" outlineLevel="0" collapsed="false">
      <c r="A12" s="11" t="n">
        <v>11</v>
      </c>
      <c r="B12" s="12" t="s">
        <v>59</v>
      </c>
      <c r="C12" s="11" t="s">
        <v>223</v>
      </c>
      <c r="D12" s="11" t="s">
        <v>224</v>
      </c>
      <c r="E12" s="12" t="s">
        <v>74</v>
      </c>
      <c r="F12" s="13" t="s">
        <v>52</v>
      </c>
      <c r="G12" s="12" t="s">
        <v>108</v>
      </c>
      <c r="H12" s="12" t="s">
        <v>162</v>
      </c>
      <c r="I12" s="14"/>
      <c r="J12" s="14"/>
      <c r="K12" s="14"/>
      <c r="L12" s="14"/>
      <c r="M12" s="14"/>
      <c r="N12" s="14"/>
      <c r="O12" s="15"/>
      <c r="P12" s="12" t="s">
        <v>63</v>
      </c>
      <c r="Q12" s="11" t="str">
        <f aca="false">IFERROR(IF(INDEX(검수!$K$2:$K$184,MATCH($C12,검수!$C$2:$C$184,0))="","",INDEX(검수!$K$2:$K$184,MATCH($C12,검수!$C$2:$C$184,0))),"")</f>
        <v/>
      </c>
      <c r="R12" s="11" t="str">
        <f aca="false">IFERROR(IF(INDEX(검수!$L$2:$L$184,MATCH($C12,검수!$C$2:$C$184,0))="","",INDEX(검수!$L$2:$L$184,MATCH($C12,검수!$C$2:$C$184,0))),"")</f>
        <v/>
      </c>
      <c r="S12" s="11" t="str">
        <f aca="false">IF(OR(R12="",J12=""),"",IF(R12=J12,"일치","불일치"))</f>
        <v/>
      </c>
      <c r="T12" s="11" t="str">
        <f aca="false">IF(OR(Q12="",I12=""),"",IF(Q12=I12,"일치","불일치"))</f>
        <v/>
      </c>
    </row>
    <row r="13" customFormat="false" ht="15" hidden="false" customHeight="false" outlineLevel="0" collapsed="false">
      <c r="A13" s="11" t="n">
        <v>12</v>
      </c>
      <c r="B13" s="12" t="s">
        <v>63</v>
      </c>
      <c r="C13" s="11" t="s">
        <v>238</v>
      </c>
      <c r="D13" s="12" t="s">
        <v>239</v>
      </c>
      <c r="E13" s="12" t="s">
        <v>74</v>
      </c>
      <c r="F13" s="13" t="s">
        <v>52</v>
      </c>
      <c r="G13" s="12" t="s">
        <v>240</v>
      </c>
      <c r="H13" s="11" t="s">
        <v>241</v>
      </c>
      <c r="I13" s="14"/>
      <c r="J13" s="14"/>
      <c r="K13" s="14"/>
      <c r="L13" s="14"/>
      <c r="M13" s="14"/>
      <c r="N13" s="14"/>
      <c r="O13" s="15"/>
      <c r="P13" s="12" t="s">
        <v>59</v>
      </c>
      <c r="Q13" s="11" t="str">
        <f aca="false">IFERROR(IF(INDEX(검수!$K$2:$K$184,MATCH($C13,검수!$C$2:$C$184,0))="","",INDEX(검수!$K$2:$K$184,MATCH($C13,검수!$C$2:$C$184,0))),"")</f>
        <v/>
      </c>
      <c r="R13" s="11" t="str">
        <f aca="false">IFERROR(IF(INDEX(검수!$L$2:$L$184,MATCH($C13,검수!$C$2:$C$184,0))="","",INDEX(검수!$L$2:$L$184,MATCH($C13,검수!$C$2:$C$184,0))),"")</f>
        <v/>
      </c>
      <c r="S13" s="11" t="str">
        <f aca="false">IF(OR(R13="",J13=""),"",IF(R13=J13,"일치","불일치"))</f>
        <v/>
      </c>
      <c r="T13" s="11" t="str">
        <f aca="false">IF(OR(Q13="",I13=""),"",IF(Q13=I13,"일치","불일치"))</f>
        <v/>
      </c>
    </row>
    <row r="14" customFormat="false" ht="15" hidden="false" customHeight="false" outlineLevel="0" collapsed="false">
      <c r="A14" s="11" t="n">
        <v>13</v>
      </c>
      <c r="B14" s="12" t="s">
        <v>47</v>
      </c>
      <c r="C14" s="11" t="s">
        <v>257</v>
      </c>
      <c r="D14" s="11" t="s">
        <v>258</v>
      </c>
      <c r="E14" s="12" t="s">
        <v>246</v>
      </c>
      <c r="F14" s="13" t="s">
        <v>52</v>
      </c>
      <c r="G14" s="12" t="s">
        <v>167</v>
      </c>
      <c r="H14" s="12" t="s">
        <v>178</v>
      </c>
      <c r="I14" s="14"/>
      <c r="J14" s="14"/>
      <c r="K14" s="14"/>
      <c r="L14" s="14"/>
      <c r="M14" s="14"/>
      <c r="N14" s="14"/>
      <c r="O14" s="15"/>
      <c r="P14" s="12" t="s">
        <v>55</v>
      </c>
      <c r="Q14" s="11" t="str">
        <f aca="false">IFERROR(IF(INDEX(검수!$K$2:$K$184,MATCH($C14,검수!$C$2:$C$184,0))="","",INDEX(검수!$K$2:$K$184,MATCH($C14,검수!$C$2:$C$184,0))),"")</f>
        <v/>
      </c>
      <c r="R14" s="11" t="str">
        <f aca="false">IFERROR(IF(INDEX(검수!$L$2:$L$184,MATCH($C14,검수!$C$2:$C$184,0))="","",INDEX(검수!$L$2:$L$184,MATCH($C14,검수!$C$2:$C$184,0))),"")</f>
        <v/>
      </c>
      <c r="S14" s="11" t="str">
        <f aca="false">IF(OR(R14="",J14=""),"",IF(R14=J14,"일치","불일치"))</f>
        <v/>
      </c>
      <c r="T14" s="11" t="str">
        <f aca="false">IF(OR(Q14="",I14=""),"",IF(Q14=I14,"일치","불일치"))</f>
        <v/>
      </c>
    </row>
    <row r="15" customFormat="false" ht="15" hidden="false" customHeight="false" outlineLevel="0" collapsed="false">
      <c r="A15" s="11" t="n">
        <v>14</v>
      </c>
      <c r="B15" s="12" t="s">
        <v>55</v>
      </c>
      <c r="C15" s="11" t="s">
        <v>301</v>
      </c>
      <c r="D15" s="11" t="s">
        <v>302</v>
      </c>
      <c r="E15" s="12" t="s">
        <v>246</v>
      </c>
      <c r="F15" s="13" t="s">
        <v>52</v>
      </c>
      <c r="G15" s="12" t="s">
        <v>240</v>
      </c>
      <c r="H15" s="11" t="s">
        <v>241</v>
      </c>
      <c r="I15" s="14"/>
      <c r="J15" s="14"/>
      <c r="K15" s="14"/>
      <c r="L15" s="14"/>
      <c r="M15" s="14"/>
      <c r="N15" s="14"/>
      <c r="O15" s="15"/>
      <c r="P15" s="12" t="s">
        <v>63</v>
      </c>
      <c r="Q15" s="11" t="str">
        <f aca="false">IFERROR(IF(INDEX(검수!$K$2:$K$184,MATCH($C15,검수!$C$2:$C$184,0))="","",INDEX(검수!$K$2:$K$184,MATCH($C15,검수!$C$2:$C$184,0))),"")</f>
        <v/>
      </c>
      <c r="R15" s="11" t="str">
        <f aca="false">IFERROR(IF(INDEX(검수!$L$2:$L$184,MATCH($C15,검수!$C$2:$C$184,0))="","",INDEX(검수!$L$2:$L$184,MATCH($C15,검수!$C$2:$C$184,0))),"")</f>
        <v/>
      </c>
      <c r="S15" s="11" t="str">
        <f aca="false">IF(OR(R15="",J15=""),"",IF(R15=J15,"일치","불일치"))</f>
        <v/>
      </c>
      <c r="T15" s="11" t="str">
        <f aca="false">IF(OR(Q15="",I15=""),"",IF(Q15=I15,"일치","불일치"))</f>
        <v/>
      </c>
    </row>
    <row r="16" customFormat="false" ht="26.85" hidden="false" customHeight="false" outlineLevel="0" collapsed="false">
      <c r="A16" s="11" t="n">
        <v>15</v>
      </c>
      <c r="B16" s="12" t="s">
        <v>59</v>
      </c>
      <c r="C16" s="11" t="s">
        <v>307</v>
      </c>
      <c r="D16" s="11" t="s">
        <v>308</v>
      </c>
      <c r="E16" s="12" t="s">
        <v>246</v>
      </c>
      <c r="F16" s="13" t="s">
        <v>52</v>
      </c>
      <c r="G16" s="12" t="s">
        <v>94</v>
      </c>
      <c r="H16" s="12" t="s">
        <v>309</v>
      </c>
      <c r="I16" s="14"/>
      <c r="J16" s="14"/>
      <c r="K16" s="14"/>
      <c r="L16" s="14"/>
      <c r="M16" s="14"/>
      <c r="N16" s="14"/>
      <c r="O16" s="15"/>
      <c r="P16" s="12" t="s">
        <v>55</v>
      </c>
      <c r="Q16" s="11" t="str">
        <f aca="false">IFERROR(IF(INDEX(검수!$K$2:$K$184,MATCH($C16,검수!$C$2:$C$184,0))="","",INDEX(검수!$K$2:$K$184,MATCH($C16,검수!$C$2:$C$184,0))),"")</f>
        <v/>
      </c>
      <c r="R16" s="11" t="str">
        <f aca="false">IFERROR(IF(INDEX(검수!$L$2:$L$184,MATCH($C16,검수!$C$2:$C$184,0))="","",INDEX(검수!$L$2:$L$184,MATCH($C16,검수!$C$2:$C$184,0))),"")</f>
        <v/>
      </c>
      <c r="S16" s="11" t="str">
        <f aca="false">IF(OR(R16="",J16=""),"",IF(R16=J16,"일치","불일치"))</f>
        <v/>
      </c>
      <c r="T16" s="11" t="str">
        <f aca="false">IF(OR(Q16="",I16=""),"",IF(Q16=I16,"일치","불일치"))</f>
        <v/>
      </c>
    </row>
    <row r="17" customFormat="false" ht="26.85" hidden="false" customHeight="false" outlineLevel="0" collapsed="false">
      <c r="A17" s="11" t="n">
        <v>16</v>
      </c>
      <c r="B17" s="12" t="s">
        <v>63</v>
      </c>
      <c r="C17" s="11" t="s">
        <v>317</v>
      </c>
      <c r="D17" s="11" t="s">
        <v>318</v>
      </c>
      <c r="E17" s="12" t="s">
        <v>246</v>
      </c>
      <c r="F17" s="13" t="s">
        <v>52</v>
      </c>
      <c r="G17" s="12" t="s">
        <v>103</v>
      </c>
      <c r="H17" s="12" t="s">
        <v>319</v>
      </c>
      <c r="I17" s="14"/>
      <c r="J17" s="14"/>
      <c r="K17" s="14"/>
      <c r="L17" s="14"/>
      <c r="M17" s="14"/>
      <c r="N17" s="14"/>
      <c r="O17" s="15"/>
      <c r="P17" s="12" t="s">
        <v>55</v>
      </c>
      <c r="Q17" s="11" t="str">
        <f aca="false">IFERROR(IF(INDEX(검수!$K$2:$K$184,MATCH($C17,검수!$C$2:$C$184,0))="","",INDEX(검수!$K$2:$K$184,MATCH($C17,검수!$C$2:$C$184,0))),"")</f>
        <v/>
      </c>
      <c r="R17" s="11" t="str">
        <f aca="false">IFERROR(IF(INDEX(검수!$L$2:$L$184,MATCH($C17,검수!$C$2:$C$184,0))="","",INDEX(검수!$L$2:$L$184,MATCH($C17,검수!$C$2:$C$184,0))),"")</f>
        <v/>
      </c>
      <c r="S17" s="11" t="str">
        <f aca="false">IF(OR(R17="",J17=""),"",IF(R17=J17,"일치","불일치"))</f>
        <v/>
      </c>
      <c r="T17" s="11" t="str">
        <f aca="false">IF(OR(Q17="",I17=""),"",IF(Q17=I17,"일치","불일치"))</f>
        <v/>
      </c>
    </row>
    <row r="18" customFormat="false" ht="15" hidden="false" customHeight="false" outlineLevel="0" collapsed="false">
      <c r="A18" s="11" t="n">
        <v>17</v>
      </c>
      <c r="B18" s="12" t="s">
        <v>47</v>
      </c>
      <c r="C18" s="11" t="s">
        <v>377</v>
      </c>
      <c r="D18" s="11" t="s">
        <v>378</v>
      </c>
      <c r="E18" s="12" t="s">
        <v>330</v>
      </c>
      <c r="F18" s="13" t="s">
        <v>52</v>
      </c>
      <c r="G18" s="12" t="s">
        <v>240</v>
      </c>
      <c r="H18" s="11" t="s">
        <v>241</v>
      </c>
      <c r="I18" s="14"/>
      <c r="J18" s="14"/>
      <c r="K18" s="14"/>
      <c r="L18" s="14"/>
      <c r="M18" s="14"/>
      <c r="N18" s="14"/>
      <c r="O18" s="15"/>
      <c r="P18" s="12" t="s">
        <v>63</v>
      </c>
      <c r="Q18" s="11" t="str">
        <f aca="false">IFERROR(IF(INDEX(검수!$K$2:$K$184,MATCH($C18,검수!$C$2:$C$184,0))="","",INDEX(검수!$K$2:$K$184,MATCH($C18,검수!$C$2:$C$184,0))),"")</f>
        <v/>
      </c>
      <c r="R18" s="11" t="str">
        <f aca="false">IFERROR(IF(INDEX(검수!$L$2:$L$184,MATCH($C18,검수!$C$2:$C$184,0))="","",INDEX(검수!$L$2:$L$184,MATCH($C18,검수!$C$2:$C$184,0))),"")</f>
        <v/>
      </c>
      <c r="S18" s="11" t="str">
        <f aca="false">IF(OR(R18="",J18=""),"",IF(R18=J18,"일치","불일치"))</f>
        <v/>
      </c>
      <c r="T18" s="11" t="str">
        <f aca="false">IF(OR(Q18="",I18=""),"",IF(Q18=I18,"일치","불일치"))</f>
        <v/>
      </c>
    </row>
    <row r="19" customFormat="false" ht="15" hidden="false" customHeight="false" outlineLevel="0" collapsed="false">
      <c r="A19" s="11" t="n">
        <v>18</v>
      </c>
      <c r="B19" s="12" t="s">
        <v>55</v>
      </c>
      <c r="C19" s="11" t="s">
        <v>410</v>
      </c>
      <c r="D19" s="11" t="s">
        <v>411</v>
      </c>
      <c r="E19" s="12" t="s">
        <v>330</v>
      </c>
      <c r="F19" s="13" t="s">
        <v>52</v>
      </c>
      <c r="G19" s="12" t="s">
        <v>33</v>
      </c>
      <c r="H19" s="12" t="s">
        <v>412</v>
      </c>
      <c r="I19" s="14"/>
      <c r="J19" s="14"/>
      <c r="K19" s="14"/>
      <c r="L19" s="14"/>
      <c r="M19" s="14"/>
      <c r="N19" s="14"/>
      <c r="O19" s="15"/>
      <c r="P19" s="12" t="s">
        <v>63</v>
      </c>
      <c r="Q19" s="11" t="str">
        <f aca="false">IFERROR(IF(INDEX(검수!$K$2:$K$184,MATCH($C19,검수!$C$2:$C$184,0))="","",INDEX(검수!$K$2:$K$184,MATCH($C19,검수!$C$2:$C$184,0))),"")</f>
        <v/>
      </c>
      <c r="R19" s="11" t="str">
        <f aca="false">IFERROR(IF(INDEX(검수!$L$2:$L$184,MATCH($C19,검수!$C$2:$C$184,0))="","",INDEX(검수!$L$2:$L$184,MATCH($C19,검수!$C$2:$C$184,0))),"")</f>
        <v/>
      </c>
      <c r="S19" s="11" t="str">
        <f aca="false">IF(OR(R19="",J19=""),"",IF(R19=J19,"일치","불일치"))</f>
        <v/>
      </c>
      <c r="T19" s="11" t="str">
        <f aca="false">IF(OR(Q19="",I19=""),"",IF(Q19=I19,"일치","불일치"))</f>
        <v/>
      </c>
    </row>
    <row r="20" customFormat="false" ht="26.85" hidden="false" customHeight="false" outlineLevel="0" collapsed="false">
      <c r="A20" s="11" t="n">
        <v>19</v>
      </c>
      <c r="B20" s="12" t="s">
        <v>59</v>
      </c>
      <c r="C20" s="11" t="s">
        <v>427</v>
      </c>
      <c r="D20" s="11" t="s">
        <v>428</v>
      </c>
      <c r="E20" s="12" t="s">
        <v>330</v>
      </c>
      <c r="F20" s="13" t="s">
        <v>52</v>
      </c>
      <c r="G20" s="12" t="s">
        <v>429</v>
      </c>
      <c r="H20" s="11" t="s">
        <v>430</v>
      </c>
      <c r="I20" s="14"/>
      <c r="J20" s="14"/>
      <c r="K20" s="14"/>
      <c r="L20" s="14"/>
      <c r="M20" s="14"/>
      <c r="N20" s="14"/>
      <c r="O20" s="15"/>
      <c r="P20" s="12" t="s">
        <v>63</v>
      </c>
      <c r="Q20" s="11" t="str">
        <f aca="false">IFERROR(IF(INDEX(검수!$K$2:$K$184,MATCH($C20,검수!$C$2:$C$184,0))="","",INDEX(검수!$K$2:$K$184,MATCH($C20,검수!$C$2:$C$184,0))),"")</f>
        <v/>
      </c>
      <c r="R20" s="11" t="str">
        <f aca="false">IFERROR(IF(INDEX(검수!$L$2:$L$184,MATCH($C20,검수!$C$2:$C$184,0))="","",INDEX(검수!$L$2:$L$184,MATCH($C20,검수!$C$2:$C$184,0))),"")</f>
        <v/>
      </c>
      <c r="S20" s="11" t="str">
        <f aca="false">IF(OR(R20="",J20=""),"",IF(R20=J20,"일치","불일치"))</f>
        <v/>
      </c>
      <c r="T20" s="11" t="str">
        <f aca="false">IF(OR(Q20="",I20=""),"",IF(Q20=I20,"일치","불일치"))</f>
        <v/>
      </c>
    </row>
    <row r="21" customFormat="false" ht="15" hidden="false" customHeight="false" outlineLevel="0" collapsed="false">
      <c r="A21" s="11" t="n">
        <v>20</v>
      </c>
      <c r="B21" s="12" t="s">
        <v>63</v>
      </c>
      <c r="C21" s="11" t="s">
        <v>435</v>
      </c>
      <c r="D21" s="11" t="s">
        <v>436</v>
      </c>
      <c r="E21" s="12" t="s">
        <v>330</v>
      </c>
      <c r="F21" s="13" t="s">
        <v>52</v>
      </c>
      <c r="G21" s="12" t="s">
        <v>437</v>
      </c>
      <c r="H21" s="12" t="s">
        <v>438</v>
      </c>
      <c r="I21" s="14"/>
      <c r="J21" s="14"/>
      <c r="K21" s="14"/>
      <c r="L21" s="14"/>
      <c r="M21" s="14"/>
      <c r="N21" s="14"/>
      <c r="O21" s="15"/>
      <c r="P21" s="12" t="s">
        <v>59</v>
      </c>
      <c r="Q21" s="11" t="str">
        <f aca="false">IFERROR(IF(INDEX(검수!$K$2:$K$184,MATCH($C21,검수!$C$2:$C$184,0))="","",INDEX(검수!$K$2:$K$184,MATCH($C21,검수!$C$2:$C$184,0))),"")</f>
        <v/>
      </c>
      <c r="R21" s="11" t="str">
        <f aca="false">IFERROR(IF(INDEX(검수!$L$2:$L$184,MATCH($C21,검수!$C$2:$C$184,0))="","",INDEX(검수!$L$2:$L$184,MATCH($C21,검수!$C$2:$C$184,0))),"")</f>
        <v/>
      </c>
      <c r="S21" s="11" t="str">
        <f aca="false">IF(OR(R21="",J21=""),"",IF(R21=J21,"일치","불일치"))</f>
        <v/>
      </c>
      <c r="T21" s="11" t="str">
        <f aca="false">IF(OR(Q21="",I21=""),"",IF(Q21=I21,"일치","불일치"))</f>
        <v/>
      </c>
    </row>
  </sheetData>
  <autoFilter ref="A1:O21"/>
  <dataValidations count="4">
    <dataValidation allowBlank="true" error="관련 / 일부 관련 / 무관 중에서 고르세요" errorStyle="stop" errorTitle="목록에서 고르세요" operator="between" showDropDown="false" showErrorMessage="true" showInputMessage="false" sqref="I2:I21" type="list">
      <formula1>"관련,일부 관련,무관"</formula1>
      <formula2>0</formula2>
    </dataValidation>
    <dataValidation allowBlank="true" error="맞음 / 일부 틀림 / 틀림 중에서 고르세요" errorStyle="stop" errorTitle="목록에서 고르세요" operator="between" showDropDown="false" showErrorMessage="true" showInputMessage="false" sqref="J2:J21" type="list">
      <formula1>"맞음,일부 틀림,틀림"</formula1>
      <formula2>0</formula2>
    </dataValidation>
    <dataValidation allowBlank="true" error="팀원A~D 중에서 고르세요" errorStyle="stop" errorTitle="목록에서 고르세요" operator="between" showDropDown="false" showErrorMessage="true" showInputMessage="false" sqref="N2:N21" type="list">
      <formula1>"팀원A,팀원B,팀원C,팀원D"</formula1>
      <formula2>0</formula2>
    </dataValidation>
    <dataValidation allowBlank="true" error="날짜(예: 2026-10-30)를 입력하세요" errorStyle="stop" operator="greaterThan" showDropDown="false" showErrorMessage="true" showInputMessage="false" sqref="O2:O21" type="date">
      <formula1>DATE(2026,1,1)</formula1>
      <formula2>0</formula2>
    </dataValidation>
  </dataValidations>
  <hyperlinks>
    <hyperlink ref="F2" r:id="rId1" display="열기"/>
    <hyperlink ref="F3" r:id="rId2" display="열기"/>
    <hyperlink ref="F4" r:id="rId3" display="열기"/>
    <hyperlink ref="F5" r:id="rId4" display="열기"/>
    <hyperlink ref="F6" r:id="rId5" display="열기"/>
    <hyperlink ref="F7" r:id="rId6" display="열기"/>
    <hyperlink ref="F8" r:id="rId7" display="열기"/>
    <hyperlink ref="F9" r:id="rId8" display="열기"/>
    <hyperlink ref="F10" r:id="rId9" display="열기"/>
    <hyperlink ref="F11" r:id="rId10" display="열기"/>
    <hyperlink ref="F12" r:id="rId11" display="열기"/>
    <hyperlink ref="F13" r:id="rId12" display="열기"/>
    <hyperlink ref="F14" r:id="rId13" display="열기"/>
    <hyperlink ref="F15" r:id="rId14" display="열기"/>
    <hyperlink ref="F16" r:id="rId15" display="열기"/>
    <hyperlink ref="F17" r:id="rId16" display="열기"/>
    <hyperlink ref="F18" r:id="rId17" display="열기"/>
    <hyperlink ref="F19" r:id="rId18" display="열기"/>
    <hyperlink ref="F20" r:id="rId19" display="열기"/>
    <hyperlink ref="F21" r:id="rId20" display="열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</cols>
  <sheetData>
    <row r="1" customFormat="false" ht="19.4" hidden="false" customHeight="false" outlineLevel="0" collapsed="false">
      <c r="A1" s="17" t="s">
        <v>494</v>
      </c>
    </row>
    <row r="3" customFormat="false" ht="15" hidden="false" customHeight="false" outlineLevel="0" collapsed="false">
      <c r="A3" s="18" t="s">
        <v>495</v>
      </c>
      <c r="B3" s="19" t="n">
        <f aca="false">COUNTA(검수!$C$2:$C$184)</f>
        <v>183</v>
      </c>
    </row>
    <row r="4" customFormat="false" ht="15" hidden="false" customHeight="false" outlineLevel="0" collapsed="false">
      <c r="A4" s="18" t="s">
        <v>496</v>
      </c>
      <c r="B4" s="19" t="n">
        <f aca="false">COUNTA(검수!$L$2:$L$184)</f>
        <v>0</v>
      </c>
    </row>
    <row r="5" customFormat="false" ht="15" hidden="false" customHeight="false" outlineLevel="0" collapsed="false">
      <c r="A5" s="18" t="s">
        <v>497</v>
      </c>
      <c r="B5" s="20" t="n">
        <f aca="false">IF(B3=0,0,B4/B3)</f>
        <v>0</v>
      </c>
    </row>
    <row r="7" customFormat="false" ht="15" hidden="false" customHeight="false" outlineLevel="0" collapsed="false">
      <c r="A7" s="18" t="s">
        <v>30</v>
      </c>
      <c r="B7" s="18" t="s">
        <v>498</v>
      </c>
      <c r="C7" s="18" t="s">
        <v>499</v>
      </c>
    </row>
    <row r="8" customFormat="false" ht="15" hidden="false" customHeight="false" outlineLevel="0" collapsed="false">
      <c r="A8" s="21" t="s">
        <v>500</v>
      </c>
      <c r="B8" s="21" t="n">
        <f aca="false">COUNTIF(검수!$L$2:$L$184,A8)</f>
        <v>0</v>
      </c>
      <c r="C8" s="20" t="n">
        <f aca="false">IF($B$4=0,0,B8/$B$4)</f>
        <v>0</v>
      </c>
    </row>
    <row r="9" customFormat="false" ht="15" hidden="false" customHeight="false" outlineLevel="0" collapsed="false">
      <c r="A9" s="21" t="s">
        <v>31</v>
      </c>
      <c r="B9" s="21" t="n">
        <f aca="false">COUNTIF(검수!$L$2:$L$184,A9)</f>
        <v>0</v>
      </c>
      <c r="C9" s="20" t="n">
        <f aca="false">IF($B$4=0,0,B9/$B$4)</f>
        <v>0</v>
      </c>
    </row>
    <row r="10" customFormat="false" ht="15" hidden="false" customHeight="false" outlineLevel="0" collapsed="false">
      <c r="A10" s="21" t="s">
        <v>501</v>
      </c>
      <c r="B10" s="21" t="n">
        <f aca="false">COUNTIF(검수!$L$2:$L$184,A10)</f>
        <v>0</v>
      </c>
      <c r="C10" s="20" t="n">
        <f aca="false">IF($B$4=0,0,B10/$B$4)</f>
        <v>0</v>
      </c>
    </row>
    <row r="12" customFormat="false" ht="15" hidden="false" customHeight="false" outlineLevel="0" collapsed="false">
      <c r="A12" s="18" t="s">
        <v>28</v>
      </c>
      <c r="B12" s="18" t="s">
        <v>498</v>
      </c>
    </row>
    <row r="13" customFormat="false" ht="15" hidden="false" customHeight="false" outlineLevel="0" collapsed="false">
      <c r="A13" s="21" t="s">
        <v>29</v>
      </c>
      <c r="B13" s="21" t="n">
        <f aca="false">COUNTIF(검수!$K$2:$K$184,A13)</f>
        <v>0</v>
      </c>
    </row>
    <row r="14" customFormat="false" ht="15" hidden="false" customHeight="false" outlineLevel="0" collapsed="false">
      <c r="A14" s="21" t="s">
        <v>502</v>
      </c>
      <c r="B14" s="21" t="n">
        <f aca="false">COUNTIF(검수!$K$2:$K$184,A14)</f>
        <v>0</v>
      </c>
    </row>
    <row r="15" customFormat="false" ht="15" hidden="false" customHeight="false" outlineLevel="0" collapsed="false">
      <c r="A15" s="21" t="s">
        <v>503</v>
      </c>
      <c r="B15" s="21" t="n">
        <f aca="false">COUNTIF(검수!$K$2:$K$184,A15)</f>
        <v>0</v>
      </c>
    </row>
    <row r="17" customFormat="false" ht="15" hidden="false" customHeight="false" outlineLevel="0" collapsed="false">
      <c r="A17" s="18" t="s">
        <v>504</v>
      </c>
      <c r="B17" s="18" t="s">
        <v>505</v>
      </c>
      <c r="C17" s="18" t="s">
        <v>506</v>
      </c>
      <c r="D17" s="18" t="s">
        <v>500</v>
      </c>
      <c r="E17" s="18" t="s">
        <v>507</v>
      </c>
    </row>
    <row r="18" customFormat="false" ht="15" hidden="false" customHeight="false" outlineLevel="0" collapsed="false">
      <c r="A18" s="21" t="s">
        <v>437</v>
      </c>
      <c r="B18" s="21" t="n">
        <f aca="false">COUNTIF(검수!$I$2:$I$184,"*"&amp;A18&amp;"*")</f>
        <v>1</v>
      </c>
      <c r="C18" s="21" t="n">
        <f aca="false">COUNTIFS(검수!$I$2:$I$184,"*"&amp;A18&amp;"*",검수!$L$2:$L$184,"&lt;&gt;")</f>
        <v>0</v>
      </c>
      <c r="D18" s="21" t="n">
        <f aca="false">COUNTIFS(검수!$I$2:$I$184,"*"&amp;A18&amp;"*",검수!$L$2:$L$184,"맞음")</f>
        <v>0</v>
      </c>
      <c r="E18" s="20" t="n">
        <f aca="false">IF(C18=0,0,D18/C18)</f>
        <v>0</v>
      </c>
    </row>
    <row r="19" customFormat="false" ht="15" hidden="false" customHeight="false" outlineLevel="0" collapsed="false">
      <c r="A19" s="21" t="s">
        <v>508</v>
      </c>
      <c r="B19" s="21" t="n">
        <f aca="false">COUNTIF(검수!$I$2:$I$184,"*"&amp;A19&amp;"*")</f>
        <v>1</v>
      </c>
      <c r="C19" s="21" t="n">
        <f aca="false">COUNTIFS(검수!$I$2:$I$184,"*"&amp;A19&amp;"*",검수!$L$2:$L$184,"&lt;&gt;")</f>
        <v>0</v>
      </c>
      <c r="D19" s="21" t="n">
        <f aca="false">COUNTIFS(검수!$I$2:$I$184,"*"&amp;A19&amp;"*",검수!$L$2:$L$184,"맞음")</f>
        <v>0</v>
      </c>
      <c r="E19" s="20" t="n">
        <f aca="false">IF(C19=0,0,D19/C19)</f>
        <v>0</v>
      </c>
    </row>
    <row r="20" customFormat="false" ht="15" hidden="false" customHeight="false" outlineLevel="0" collapsed="false">
      <c r="A20" s="21" t="s">
        <v>108</v>
      </c>
      <c r="B20" s="21" t="n">
        <f aca="false">COUNTIF(검수!$I$2:$I$184,"*"&amp;A20&amp;"*")</f>
        <v>20</v>
      </c>
      <c r="C20" s="21" t="n">
        <f aca="false">COUNTIFS(검수!$I$2:$I$184,"*"&amp;A20&amp;"*",검수!$L$2:$L$184,"&lt;&gt;")</f>
        <v>0</v>
      </c>
      <c r="D20" s="21" t="n">
        <f aca="false">COUNTIFS(검수!$I$2:$I$184,"*"&amp;A20&amp;"*",검수!$L$2:$L$184,"맞음")</f>
        <v>0</v>
      </c>
      <c r="E20" s="20" t="n">
        <f aca="false">IF(C20=0,0,D20/C20)</f>
        <v>0</v>
      </c>
    </row>
    <row r="21" customFormat="false" ht="15" hidden="false" customHeight="false" outlineLevel="0" collapsed="false">
      <c r="A21" s="21" t="s">
        <v>167</v>
      </c>
      <c r="B21" s="21" t="n">
        <f aca="false">COUNTIF(검수!$I$2:$I$184,"*"&amp;A21&amp;"*")</f>
        <v>12</v>
      </c>
      <c r="C21" s="21" t="n">
        <f aca="false">COUNTIFS(검수!$I$2:$I$184,"*"&amp;A21&amp;"*",검수!$L$2:$L$184,"&lt;&gt;")</f>
        <v>0</v>
      </c>
      <c r="D21" s="21" t="n">
        <f aca="false">COUNTIFS(검수!$I$2:$I$184,"*"&amp;A21&amp;"*",검수!$L$2:$L$184,"맞음")</f>
        <v>0</v>
      </c>
      <c r="E21" s="20" t="n">
        <f aca="false">IF(C21=0,0,D21/C21)</f>
        <v>0</v>
      </c>
    </row>
    <row r="22" customFormat="false" ht="15" hidden="false" customHeight="false" outlineLevel="0" collapsed="false">
      <c r="A22" s="21" t="s">
        <v>103</v>
      </c>
      <c r="B22" s="21" t="n">
        <f aca="false">COUNTIF(검수!$I$2:$I$184,"*"&amp;A22&amp;"*")</f>
        <v>21</v>
      </c>
      <c r="C22" s="21" t="n">
        <f aca="false">COUNTIFS(검수!$I$2:$I$184,"*"&amp;A22&amp;"*",검수!$L$2:$L$184,"&lt;&gt;")</f>
        <v>0</v>
      </c>
      <c r="D22" s="21" t="n">
        <f aca="false">COUNTIFS(검수!$I$2:$I$184,"*"&amp;A22&amp;"*",검수!$L$2:$L$184,"맞음")</f>
        <v>0</v>
      </c>
      <c r="E22" s="20" t="n">
        <f aca="false">IF(C22=0,0,D22/C22)</f>
        <v>0</v>
      </c>
    </row>
    <row r="23" customFormat="false" ht="15" hidden="false" customHeight="false" outlineLevel="0" collapsed="false">
      <c r="A23" s="21" t="s">
        <v>33</v>
      </c>
      <c r="B23" s="21" t="n">
        <f aca="false">COUNTIF(검수!$I$2:$I$184,"*"&amp;A23&amp;"*")</f>
        <v>2</v>
      </c>
      <c r="C23" s="21" t="n">
        <f aca="false">COUNTIFS(검수!$I$2:$I$184,"*"&amp;A23&amp;"*",검수!$L$2:$L$184,"&lt;&gt;")</f>
        <v>0</v>
      </c>
      <c r="D23" s="21" t="n">
        <f aca="false">COUNTIFS(검수!$I$2:$I$184,"*"&amp;A23&amp;"*",검수!$L$2:$L$184,"맞음")</f>
        <v>0</v>
      </c>
      <c r="E23" s="20" t="n">
        <f aca="false">IF(C23=0,0,D23/C23)</f>
        <v>0</v>
      </c>
    </row>
    <row r="24" customFormat="false" ht="15" hidden="false" customHeight="false" outlineLevel="0" collapsed="false">
      <c r="A24" s="21" t="s">
        <v>240</v>
      </c>
      <c r="B24" s="21" t="n">
        <f aca="false">COUNTIF(검수!$I$2:$I$184,"*"&amp;A24&amp;"*")</f>
        <v>18</v>
      </c>
      <c r="C24" s="21" t="n">
        <f aca="false">COUNTIFS(검수!$I$2:$I$184,"*"&amp;A24&amp;"*",검수!$L$2:$L$184,"&lt;&gt;")</f>
        <v>0</v>
      </c>
      <c r="D24" s="21" t="n">
        <f aca="false">COUNTIFS(검수!$I$2:$I$184,"*"&amp;A24&amp;"*",검수!$L$2:$L$184,"맞음")</f>
        <v>0</v>
      </c>
      <c r="E24" s="20" t="n">
        <f aca="false">IF(C24=0,0,D24/C24)</f>
        <v>0</v>
      </c>
    </row>
    <row r="25" customFormat="false" ht="15" hidden="false" customHeight="false" outlineLevel="0" collapsed="false">
      <c r="A25" s="21" t="s">
        <v>509</v>
      </c>
      <c r="B25" s="21" t="n">
        <f aca="false">COUNTIF(검수!$I$2:$I$184,"*"&amp;A25&amp;"*")</f>
        <v>0</v>
      </c>
      <c r="C25" s="21" t="n">
        <f aca="false">COUNTIFS(검수!$I$2:$I$184,"*"&amp;A25&amp;"*",검수!$L$2:$L$184,"&lt;&gt;")</f>
        <v>0</v>
      </c>
      <c r="D25" s="21" t="n">
        <f aca="false">COUNTIFS(검수!$I$2:$I$184,"*"&amp;A25&amp;"*",검수!$L$2:$L$184,"맞음")</f>
        <v>0</v>
      </c>
      <c r="E25" s="20" t="n">
        <f aca="false">IF(C25=0,0,D25/C25)</f>
        <v>0</v>
      </c>
    </row>
    <row r="26" customFormat="false" ht="15" hidden="false" customHeight="false" outlineLevel="0" collapsed="false">
      <c r="A26" s="21" t="s">
        <v>94</v>
      </c>
      <c r="B26" s="21" t="n">
        <f aca="false">COUNTIF(검수!$I$2:$I$184,"*"&amp;A26&amp;"*")</f>
        <v>26</v>
      </c>
      <c r="C26" s="21" t="n">
        <f aca="false">COUNTIFS(검수!$I$2:$I$184,"*"&amp;A26&amp;"*",검수!$L$2:$L$184,"&lt;&gt;")</f>
        <v>0</v>
      </c>
      <c r="D26" s="21" t="n">
        <f aca="false">COUNTIFS(검수!$I$2:$I$184,"*"&amp;A26&amp;"*",검수!$L$2:$L$184,"맞음")</f>
        <v>0</v>
      </c>
      <c r="E26" s="20" t="n">
        <f aca="false">IF(C26=0,0,D26/C26)</f>
        <v>0</v>
      </c>
    </row>
    <row r="27" customFormat="false" ht="15" hidden="false" customHeight="false" outlineLevel="0" collapsed="false">
      <c r="A27" s="19" t="s">
        <v>54</v>
      </c>
      <c r="B27" s="21" t="n">
        <f aca="false">COUNTIF(검수!$I$2:$I$184,"(없음)")</f>
        <v>87</v>
      </c>
      <c r="C27" s="21" t="n">
        <f aca="false">COUNTIFS(검수!$I$2:$I$184,"(없음)",검수!$L$2:$L$184,"&lt;&gt;")</f>
        <v>0</v>
      </c>
      <c r="D27" s="21" t="n">
        <f aca="false">COUNTIFS(검수!$I$2:$I$184,"(없음)",검수!$L$2:$L$184,"맞음")</f>
        <v>0</v>
      </c>
      <c r="E27" s="20" t="n">
        <f aca="false">IF(C27=0,0,D27/C27)</f>
        <v>0</v>
      </c>
    </row>
    <row r="28" customFormat="false" ht="15" hidden="false" customHeight="false" outlineLevel="0" collapsed="false">
      <c r="A28" s="22" t="s">
        <v>510</v>
      </c>
    </row>
    <row r="30" customFormat="false" ht="15" hidden="false" customHeight="false" outlineLevel="0" collapsed="false">
      <c r="A30" s="18" t="s">
        <v>511</v>
      </c>
      <c r="B30" s="18" t="s">
        <v>7</v>
      </c>
      <c r="C30" s="18" t="s">
        <v>512</v>
      </c>
      <c r="D30" s="18" t="s">
        <v>497</v>
      </c>
      <c r="E30" s="18" t="s">
        <v>488</v>
      </c>
      <c r="F30" s="18" t="s">
        <v>513</v>
      </c>
    </row>
    <row r="31" customFormat="false" ht="15" hidden="false" customHeight="false" outlineLevel="0" collapsed="false">
      <c r="A31" s="21" t="s">
        <v>47</v>
      </c>
      <c r="B31" s="21" t="n">
        <f aca="false">COUNTIF(검수!$B$2:$B$184,A31)</f>
        <v>46</v>
      </c>
      <c r="C31" s="21" t="n">
        <f aca="false">COUNTIFS(검수!$B$2:$B$184,A31,검수!$L$2:$L$184,"&lt;&gt;")</f>
        <v>0</v>
      </c>
      <c r="D31" s="20" t="n">
        <f aca="false">IF(B31=0,0,C31/B31)</f>
        <v>0</v>
      </c>
      <c r="E31" s="21" t="n">
        <f aca="false">COUNTIF(교차검수!$B$2:$B$21,A31)</f>
        <v>5</v>
      </c>
      <c r="F31" s="21" t="n">
        <f aca="false">COUNTIFS(교차검수!$B$2:$B$21,A31,교차검수!$J$2:$J$21,"&lt;&gt;")</f>
        <v>0</v>
      </c>
    </row>
    <row r="32" customFormat="false" ht="15" hidden="false" customHeight="false" outlineLevel="0" collapsed="false">
      <c r="A32" s="21" t="s">
        <v>55</v>
      </c>
      <c r="B32" s="21" t="n">
        <f aca="false">COUNTIF(검수!$B$2:$B$184,A32)</f>
        <v>46</v>
      </c>
      <c r="C32" s="21" t="n">
        <f aca="false">COUNTIFS(검수!$B$2:$B$184,A32,검수!$L$2:$L$184,"&lt;&gt;")</f>
        <v>0</v>
      </c>
      <c r="D32" s="20" t="n">
        <f aca="false">IF(B32=0,0,C32/B32)</f>
        <v>0</v>
      </c>
      <c r="E32" s="21" t="n">
        <f aca="false">COUNTIF(교차검수!$B$2:$B$21,A32)</f>
        <v>5</v>
      </c>
      <c r="F32" s="21" t="n">
        <f aca="false">COUNTIFS(교차검수!$B$2:$B$21,A32,교차검수!$J$2:$J$21,"&lt;&gt;")</f>
        <v>0</v>
      </c>
    </row>
    <row r="33" customFormat="false" ht="15" hidden="false" customHeight="false" outlineLevel="0" collapsed="false">
      <c r="A33" s="21" t="s">
        <v>59</v>
      </c>
      <c r="B33" s="21" t="n">
        <f aca="false">COUNTIF(검수!$B$2:$B$184,A33)</f>
        <v>46</v>
      </c>
      <c r="C33" s="21" t="n">
        <f aca="false">COUNTIFS(검수!$B$2:$B$184,A33,검수!$L$2:$L$184,"&lt;&gt;")</f>
        <v>0</v>
      </c>
      <c r="D33" s="20" t="n">
        <f aca="false">IF(B33=0,0,C33/B33)</f>
        <v>0</v>
      </c>
      <c r="E33" s="21" t="n">
        <f aca="false">COUNTIF(교차검수!$B$2:$B$21,A33)</f>
        <v>5</v>
      </c>
      <c r="F33" s="21" t="n">
        <f aca="false">COUNTIFS(교차검수!$B$2:$B$21,A33,교차검수!$J$2:$J$21,"&lt;&gt;")</f>
        <v>0</v>
      </c>
    </row>
    <row r="34" customFormat="false" ht="15" hidden="false" customHeight="false" outlineLevel="0" collapsed="false">
      <c r="A34" s="21" t="s">
        <v>63</v>
      </c>
      <c r="B34" s="21" t="n">
        <f aca="false">COUNTIF(검수!$B$2:$B$184,A34)</f>
        <v>45</v>
      </c>
      <c r="C34" s="21" t="n">
        <f aca="false">COUNTIFS(검수!$B$2:$B$184,A34,검수!$L$2:$L$184,"&lt;&gt;")</f>
        <v>0</v>
      </c>
      <c r="D34" s="20" t="n">
        <f aca="false">IF(B34=0,0,C34/B34)</f>
        <v>0</v>
      </c>
      <c r="E34" s="21" t="n">
        <f aca="false">COUNTIF(교차검수!$B$2:$B$21,A34)</f>
        <v>5</v>
      </c>
      <c r="F34" s="21" t="n">
        <f aca="false">COUNTIFS(교차검수!$B$2:$B$21,A34,교차검수!$J$2:$J$21,"&lt;&gt;")</f>
        <v>0</v>
      </c>
    </row>
    <row r="37" customFormat="false" ht="15" hidden="false" customHeight="false" outlineLevel="0" collapsed="false">
      <c r="A37" s="18" t="s">
        <v>514</v>
      </c>
    </row>
    <row r="38" customFormat="false" ht="15" hidden="false" customHeight="false" outlineLevel="0" collapsed="false">
      <c r="A38" s="21" t="s">
        <v>515</v>
      </c>
      <c r="B38" s="21" t="n">
        <f aca="false">COUNTA(교차검수!$C$2:$C$21)</f>
        <v>20</v>
      </c>
    </row>
    <row r="39" customFormat="false" ht="15" hidden="false" customHeight="false" outlineLevel="0" collapsed="false">
      <c r="A39" s="21" t="s">
        <v>516</v>
      </c>
      <c r="B39" s="21" t="n">
        <f aca="false">SUMPRODUCT(((교차검수!$R$2:$R$21&lt;&gt;"")*(교차검수!$J$2:$J$21&lt;&gt;"")))</f>
        <v>0</v>
      </c>
    </row>
    <row r="40" customFormat="false" ht="15" hidden="false" customHeight="false" outlineLevel="0" collapsed="false">
      <c r="A40" s="21" t="s">
        <v>517</v>
      </c>
      <c r="B40" s="21" t="n">
        <f aca="false">SUMPRODUCT(((교차검수!$R$2:$R$21&lt;&gt;"")*(교차검수!$J$2:$J$21&lt;&gt;""))*(교차검수!$R$2:$R$21=교차검수!$J$2:$J$21))</f>
        <v>0</v>
      </c>
    </row>
    <row r="41" customFormat="false" ht="15" hidden="false" customHeight="false" outlineLevel="0" collapsed="false">
      <c r="A41" s="21" t="s">
        <v>507</v>
      </c>
      <c r="B41" s="20" t="n">
        <f aca="false">IF(B39=0,0,B40/B39)</f>
        <v>0</v>
      </c>
    </row>
    <row r="42" customFormat="false" ht="15" hidden="false" customHeight="false" outlineLevel="0" collapsed="false">
      <c r="A42" s="21" t="s">
        <v>518</v>
      </c>
      <c r="B42" s="23" t="n">
        <f aca="false">IF(B39=0,0,(SUMPRODUCT(((교차검수!$R$2:$R$21&lt;&gt;"")*(교차검수!$J$2:$J$21&lt;&gt;""))*(교차검수!$R$2:$R$21="맞음"))*SUMPRODUCT(((교차검수!$R$2:$R$21&lt;&gt;"")*(교차검수!$J$2:$J$21&lt;&gt;""))*(교차검수!$J$2:$J$21="맞음"))+SUMPRODUCT(((교차검수!$R$2:$R$21&lt;&gt;"")*(교차검수!$J$2:$J$21&lt;&gt;""))*(교차검수!$R$2:$R$21="일부 틀림"))*SUMPRODUCT(((교차검수!$R$2:$R$21&lt;&gt;"")*(교차검수!$J$2:$J$21&lt;&gt;""))*(교차검수!$J$2:$J$21="일부 틀림"))+SUMPRODUCT(((교차검수!$R$2:$R$21&lt;&gt;"")*(교차검수!$J$2:$J$21&lt;&gt;""))*(교차검수!$R$2:$R$21="틀림"))*SUMPRODUCT(((교차검수!$R$2:$R$21&lt;&gt;"")*(교차검수!$J$2:$J$21&lt;&gt;""))*(교차검수!$J$2:$J$21="틀림")))/B39^2)</f>
        <v>0</v>
      </c>
    </row>
    <row r="43" customFormat="false" ht="15" hidden="false" customHeight="false" outlineLevel="0" collapsed="false">
      <c r="A43" s="21" t="s">
        <v>519</v>
      </c>
      <c r="B43" s="24" t="str">
        <f aca="false">IF(OR(B39=0,B42=1),"-",(B41-B42)/(1-B42))</f>
        <v>-</v>
      </c>
    </row>
    <row r="44" customFormat="false" ht="15" hidden="false" customHeight="false" outlineLevel="0" collapsed="false">
      <c r="A44" s="21" t="s">
        <v>520</v>
      </c>
      <c r="B44" s="20" t="n">
        <f aca="false">IF(SUMPRODUCT((교차검수!$Q$2:$Q$21&lt;&gt;"")*(교차검수!$I$2:$I$21&lt;&gt;""))=0,0,SUMPRODUCT((교차검수!$Q$2:$Q$21&lt;&gt;"")*(교차검수!$I$2:$I$21&lt;&gt;"")*(교차검수!$Q$2:$Q$21=교차검수!$I$2:$I$21))/SUMPRODUCT((교차검수!$Q$2:$Q$21&lt;&gt;"")*(교차검수!$I$2:$I$21&lt;&gt;"")))</f>
        <v>0</v>
      </c>
    </row>
    <row r="45" customFormat="false" ht="15" hidden="false" customHeight="false" outlineLevel="0" collapsed="false">
      <c r="A45" s="22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25" t="s">
        <v>522</v>
      </c>
      <c r="B1" s="25" t="s">
        <v>523</v>
      </c>
      <c r="C1" s="25" t="s">
        <v>524</v>
      </c>
    </row>
    <row r="2" customFormat="false" ht="15" hidden="false" customHeight="false" outlineLevel="0" collapsed="false">
      <c r="A2" s="19" t="s">
        <v>525</v>
      </c>
      <c r="B2" s="21" t="s">
        <v>437</v>
      </c>
      <c r="C2" s="21" t="s">
        <v>526</v>
      </c>
    </row>
    <row r="3" customFormat="false" ht="15" hidden="false" customHeight="false" outlineLevel="0" collapsed="false">
      <c r="A3" s="19" t="s">
        <v>527</v>
      </c>
      <c r="B3" s="21" t="s">
        <v>508</v>
      </c>
      <c r="C3" s="21" t="s">
        <v>528</v>
      </c>
    </row>
    <row r="4" customFormat="false" ht="15" hidden="false" customHeight="false" outlineLevel="0" collapsed="false">
      <c r="A4" s="19" t="s">
        <v>529</v>
      </c>
      <c r="B4" s="21" t="s">
        <v>108</v>
      </c>
      <c r="C4" s="21" t="s">
        <v>530</v>
      </c>
    </row>
    <row r="5" customFormat="false" ht="15" hidden="false" customHeight="false" outlineLevel="0" collapsed="false">
      <c r="A5" s="19" t="s">
        <v>531</v>
      </c>
      <c r="B5" s="21" t="s">
        <v>167</v>
      </c>
      <c r="C5" s="21" t="s">
        <v>532</v>
      </c>
    </row>
    <row r="6" customFormat="false" ht="15" hidden="false" customHeight="false" outlineLevel="0" collapsed="false">
      <c r="A6" s="19" t="s">
        <v>533</v>
      </c>
      <c r="B6" s="21" t="s">
        <v>103</v>
      </c>
      <c r="C6" s="21" t="s">
        <v>534</v>
      </c>
    </row>
    <row r="7" customFormat="false" ht="15" hidden="false" customHeight="false" outlineLevel="0" collapsed="false">
      <c r="A7" s="19" t="s">
        <v>535</v>
      </c>
      <c r="B7" s="21" t="s">
        <v>33</v>
      </c>
      <c r="C7" s="21" t="s">
        <v>536</v>
      </c>
    </row>
    <row r="8" customFormat="false" ht="15" hidden="false" customHeight="false" outlineLevel="0" collapsed="false">
      <c r="A8" s="19" t="s">
        <v>537</v>
      </c>
      <c r="B8" s="21" t="s">
        <v>240</v>
      </c>
      <c r="C8" s="19" t="s">
        <v>538</v>
      </c>
    </row>
    <row r="9" customFormat="false" ht="15" hidden="false" customHeight="false" outlineLevel="0" collapsed="false">
      <c r="A9" s="19" t="s">
        <v>539</v>
      </c>
      <c r="B9" s="21" t="s">
        <v>509</v>
      </c>
      <c r="C9" s="21" t="s">
        <v>540</v>
      </c>
    </row>
    <row r="10" customFormat="false" ht="15" hidden="false" customHeight="false" outlineLevel="0" collapsed="false">
      <c r="A10" s="19" t="s">
        <v>541</v>
      </c>
      <c r="B10" s="21" t="s">
        <v>94</v>
      </c>
      <c r="C10" s="21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2026-10-28T06:09:47Z</dcterms:created>
  <dc:creator>openpyxl</dc:creator>
  <dc:description/>
  <dc:language>en-US</dc:language>
  <cp:lastModifiedBy/>
  <dcterms:modified xsi:type="dcterms:W3CDTF">2026-10-28T06:09:47Z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